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9576DB42-1DA8-461A-A18E-B7AA30D02A89}" xr6:coauthVersionLast="47" xr6:coauthVersionMax="47" xr10:uidLastSave="{00000000-0000-0000-0000-000000000000}"/>
  <bookViews>
    <workbookView xWindow="-108" yWindow="-108" windowWidth="23256" windowHeight="12456" activeTab="2"/>
  </bookViews>
  <sheets>
    <sheet name="supermarket_sales_analysis" sheetId="1" r:id="rId1"/>
    <sheet name="pivot_table_analysis" sheetId="3" r:id="rId2"/>
    <sheet name="supermarket_sales_dashboard.xls" sheetId="2" r:id="rId3"/>
  </sheets>
  <definedNames>
    <definedName name="Slicer_City">#N/A</definedName>
    <definedName name="Slicer_Gender">#N/A</definedName>
    <definedName name="Slicer_Product_line">#N/A</definedName>
  </definedNames>
  <calcPr calcId="0"/>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3" i="3" l="1"/>
  <c r="B22" i="3"/>
  <c r="B21" i="3"/>
  <c r="B20" i="3"/>
  <c r="J989" i="1"/>
  <c r="J990" i="1"/>
  <c r="J991" i="1"/>
  <c r="J992" i="1"/>
  <c r="J993" i="1"/>
  <c r="J994" i="1"/>
  <c r="J995" i="1"/>
  <c r="J996" i="1"/>
  <c r="J997" i="1"/>
  <c r="J998" i="1"/>
  <c r="J999" i="1"/>
  <c r="J1000" i="1"/>
  <c r="J1001"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3" i="1"/>
  <c r="J4" i="1"/>
  <c r="J5" i="1"/>
  <c r="J6" i="1"/>
  <c r="J7" i="1"/>
  <c r="J8" i="1"/>
  <c r="J9" i="1"/>
  <c r="J10" i="1"/>
  <c r="J11" i="1"/>
  <c r="J12" i="1"/>
  <c r="J13" i="1"/>
  <c r="J14" i="1"/>
  <c r="J15" i="1"/>
  <c r="J16" i="1"/>
  <c r="J17" i="1"/>
  <c r="J18" i="1"/>
  <c r="J19" i="1"/>
  <c r="J20" i="1"/>
  <c r="J21" i="1"/>
  <c r="J22" i="1"/>
  <c r="J23" i="1"/>
  <c r="J24" i="1"/>
  <c r="J25" i="1"/>
  <c r="J26" i="1"/>
  <c r="J27" i="1"/>
  <c r="J28" i="1"/>
  <c r="J2"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88" i="1"/>
  <c r="I89" i="1"/>
  <c r="I90" i="1"/>
  <c r="I91" i="1"/>
  <c r="I92" i="1"/>
  <c r="I93" i="1"/>
  <c r="I94" i="1"/>
  <c r="I95" i="1"/>
  <c r="I96" i="1"/>
  <c r="I97" i="1"/>
  <c r="I98"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3" i="1"/>
  <c r="I4" i="1"/>
  <c r="I5" i="1"/>
  <c r="I6" i="1"/>
  <c r="I7" i="1"/>
  <c r="I8" i="1"/>
  <c r="I9" i="1"/>
  <c r="I10" i="1"/>
  <c r="I11" i="1"/>
  <c r="I12" i="1"/>
  <c r="I13" i="1"/>
  <c r="I14" i="1"/>
  <c r="I15" i="1"/>
  <c r="I16" i="1"/>
  <c r="I17" i="1"/>
  <c r="I18" i="1"/>
  <c r="I19" i="1"/>
  <c r="I20" i="1"/>
  <c r="I21" i="1"/>
  <c r="I22" i="1"/>
  <c r="I23" i="1"/>
  <c r="I24" i="1"/>
  <c r="I25" i="1"/>
  <c r="I26" i="1"/>
  <c r="I27" i="1"/>
  <c r="I2" i="1"/>
</calcChain>
</file>

<file path=xl/sharedStrings.xml><?xml version="1.0" encoding="utf-8"?>
<sst xmlns="http://schemas.openxmlformats.org/spreadsheetml/2006/main" count="6047" uniqueCount="1037">
  <si>
    <t>Gender</t>
  </si>
  <si>
    <t>Invoice ID</t>
  </si>
  <si>
    <t>Branch</t>
  </si>
  <si>
    <t>City</t>
  </si>
  <si>
    <t>Customer type</t>
  </si>
  <si>
    <t>Product line</t>
  </si>
  <si>
    <t>Unit price</t>
  </si>
  <si>
    <t>Quantity</t>
  </si>
  <si>
    <t>Tax 5%</t>
  </si>
  <si>
    <t>Female</t>
  </si>
  <si>
    <t>750-67-8428</t>
  </si>
  <si>
    <t>A</t>
  </si>
  <si>
    <t>Yangon</t>
  </si>
  <si>
    <t>Member</t>
  </si>
  <si>
    <t>Health and beauty</t>
  </si>
  <si>
    <t>226-31-3081</t>
  </si>
  <si>
    <t>C</t>
  </si>
  <si>
    <t>Naypyitaw</t>
  </si>
  <si>
    <t>Normal</t>
  </si>
  <si>
    <t>Electronic accessories</t>
  </si>
  <si>
    <t>355-53-5943</t>
  </si>
  <si>
    <t>315-22-5665</t>
  </si>
  <si>
    <t>Home and lifestyle</t>
  </si>
  <si>
    <t>665-32-9167</t>
  </si>
  <si>
    <t>692-92-5582</t>
  </si>
  <si>
    <t>B</t>
  </si>
  <si>
    <t>Mandalay</t>
  </si>
  <si>
    <t>Food and beverages</t>
  </si>
  <si>
    <t>351-62-0822</t>
  </si>
  <si>
    <t>Fashion accessories</t>
  </si>
  <si>
    <t>365-64-0515</t>
  </si>
  <si>
    <t>829-34-3910</t>
  </si>
  <si>
    <t>299-46-1805</t>
  </si>
  <si>
    <t>Sports and travel</t>
  </si>
  <si>
    <t>656-95-9349</t>
  </si>
  <si>
    <t>319-50-3348</t>
  </si>
  <si>
    <t>227-03-5010</t>
  </si>
  <si>
    <t>189-17-4241</t>
  </si>
  <si>
    <t>145-94-9061</t>
  </si>
  <si>
    <t>183-56-6882</t>
  </si>
  <si>
    <t>232-16-2483</t>
  </si>
  <si>
    <t>272-65-1806</t>
  </si>
  <si>
    <t>333-73-7901</t>
  </si>
  <si>
    <t>280-35-5823</t>
  </si>
  <si>
    <t>354-25-5821</t>
  </si>
  <si>
    <t>228-96-1411</t>
  </si>
  <si>
    <t>132-32-9879</t>
  </si>
  <si>
    <t>727-46-3608</t>
  </si>
  <si>
    <t>574-22-5561</t>
  </si>
  <si>
    <t>162-48-8011</t>
  </si>
  <si>
    <t>616-24-2851</t>
  </si>
  <si>
    <t>399-46-5918</t>
  </si>
  <si>
    <t>817-48-8732</t>
  </si>
  <si>
    <t>285-68-5083</t>
  </si>
  <si>
    <t>347-34-2234</t>
  </si>
  <si>
    <t>838-78-4295</t>
  </si>
  <si>
    <t>109-28-2512</t>
  </si>
  <si>
    <t>382-03-4532</t>
  </si>
  <si>
    <t>510-95-6347</t>
  </si>
  <si>
    <t>841-35-6630</t>
  </si>
  <si>
    <t>732-94-0499</t>
  </si>
  <si>
    <t>381-20-0914</t>
  </si>
  <si>
    <t>829-49-1914</t>
  </si>
  <si>
    <t>756-01-7507</t>
  </si>
  <si>
    <t>870-72-4431</t>
  </si>
  <si>
    <t>847-38-7188</t>
  </si>
  <si>
    <t>787-56-0757</t>
  </si>
  <si>
    <t>730-50-9884</t>
  </si>
  <si>
    <t>318-68-5053</t>
  </si>
  <si>
    <t>565-80-5980</t>
  </si>
  <si>
    <t>225-32-0908</t>
  </si>
  <si>
    <t>873-51-0671</t>
  </si>
  <si>
    <t>871-39-9221</t>
  </si>
  <si>
    <t>551-21-3069</t>
  </si>
  <si>
    <t>588-01-7461</t>
  </si>
  <si>
    <t>479-26-8945</t>
  </si>
  <si>
    <t>210-67-5886</t>
  </si>
  <si>
    <t>227-78-1148</t>
  </si>
  <si>
    <t>237-01-6122</t>
  </si>
  <si>
    <t>225-98-1496</t>
  </si>
  <si>
    <t>642-32-2990</t>
  </si>
  <si>
    <t>638-60-7125</t>
  </si>
  <si>
    <t>268-27-6179</t>
  </si>
  <si>
    <t>668-90-8900</t>
  </si>
  <si>
    <t>870-54-3162</t>
  </si>
  <si>
    <t>189-08-9157</t>
  </si>
  <si>
    <t>663-86-9076</t>
  </si>
  <si>
    <t>549-84-7482</t>
  </si>
  <si>
    <t>191-10-6171</t>
  </si>
  <si>
    <t>802-70-5316</t>
  </si>
  <si>
    <t>695-51-0018</t>
  </si>
  <si>
    <t>483-71-1164</t>
  </si>
  <si>
    <t>700-81-1757</t>
  </si>
  <si>
    <t>354-39-5160</t>
  </si>
  <si>
    <t>731-81-9469</t>
  </si>
  <si>
    <t>338-65-2210</t>
  </si>
  <si>
    <t>488-25-4221</t>
  </si>
  <si>
    <t>239-10-7476</t>
  </si>
  <si>
    <t>458-41-1477</t>
  </si>
  <si>
    <t>685-64-1609</t>
  </si>
  <si>
    <t>608-96-3517</t>
  </si>
  <si>
    <t>214-17-6927</t>
  </si>
  <si>
    <t>400-89-4171</t>
  </si>
  <si>
    <t>894-41-5205</t>
  </si>
  <si>
    <t>139-52-2867</t>
  </si>
  <si>
    <t>586-25-0848</t>
  </si>
  <si>
    <t>305-14-0245</t>
  </si>
  <si>
    <t>593-65-1552</t>
  </si>
  <si>
    <t>284-34-9626</t>
  </si>
  <si>
    <t>437-58-8131</t>
  </si>
  <si>
    <t>286-43-6208</t>
  </si>
  <si>
    <t>556-86-3144</t>
  </si>
  <si>
    <t>856-22-8149</t>
  </si>
  <si>
    <t>420-11-4919</t>
  </si>
  <si>
    <t>606-80-4905</t>
  </si>
  <si>
    <t>542-41-0513</t>
  </si>
  <si>
    <t>749-24-1565</t>
  </si>
  <si>
    <t>672-51-8681</t>
  </si>
  <si>
    <t>263-87-5680</t>
  </si>
  <si>
    <t>573-58-9734</t>
  </si>
  <si>
    <t>817-69-8206</t>
  </si>
  <si>
    <t>677-11-0152</t>
  </si>
  <si>
    <t>891-58-8335</t>
  </si>
  <si>
    <t>560-30-5617</t>
  </si>
  <si>
    <t>319-74-2561</t>
  </si>
  <si>
    <t>790-29-1172</t>
  </si>
  <si>
    <t>279-62-1445</t>
  </si>
  <si>
    <t>746-68-6593</t>
  </si>
  <si>
    <t>466-61-5506</t>
  </si>
  <si>
    <t>721-86-6247</t>
  </si>
  <si>
    <t>289-65-5721</t>
  </si>
  <si>
    <t>545-46-3100</t>
  </si>
  <si>
    <t>418-02-5978</t>
  </si>
  <si>
    <t>645-78-8093</t>
  </si>
  <si>
    <t>755-12-3214</t>
  </si>
  <si>
    <t>346-84-3103</t>
  </si>
  <si>
    <t>866-05-7563</t>
  </si>
  <si>
    <t>883-17-4236</t>
  </si>
  <si>
    <t>850-41-9669</t>
  </si>
  <si>
    <t>821-07-3596</t>
  </si>
  <si>
    <t>655-85-5130</t>
  </si>
  <si>
    <t>447-15-7839</t>
  </si>
  <si>
    <t>253-12-6086</t>
  </si>
  <si>
    <t>571-94-0759</t>
  </si>
  <si>
    <t>731-14-2199</t>
  </si>
  <si>
    <t>783-09-1637</t>
  </si>
  <si>
    <t>687-15-1097</t>
  </si>
  <si>
    <t>126-54-1082</t>
  </si>
  <si>
    <t>633-91-1052</t>
  </si>
  <si>
    <t>477-24-6490</t>
  </si>
  <si>
    <t>526-86-8552</t>
  </si>
  <si>
    <t>376-56-3573</t>
  </si>
  <si>
    <t>136-08-6195</t>
  </si>
  <si>
    <t>490-29-1201</t>
  </si>
  <si>
    <t>565-17-3836</t>
  </si>
  <si>
    <t>226-71-3580</t>
  </si>
  <si>
    <t>283-79-9594</t>
  </si>
  <si>
    <t>430-60-3493</t>
  </si>
  <si>
    <t>278-97-7759</t>
  </si>
  <si>
    <t>316-68-6352</t>
  </si>
  <si>
    <t>211-05-0490</t>
  </si>
  <si>
    <t>779-06-0012</t>
  </si>
  <si>
    <t>439-54-7422</t>
  </si>
  <si>
    <t>396-90-2219</t>
  </si>
  <si>
    <t>286-01-5402</t>
  </si>
  <si>
    <t>803-17-8013</t>
  </si>
  <si>
    <t>512-98-1403</t>
  </si>
  <si>
    <t>848-42-2560</t>
  </si>
  <si>
    <t>870-76-1733</t>
  </si>
  <si>
    <t>423-64-4619</t>
  </si>
  <si>
    <t>227-07-4446</t>
  </si>
  <si>
    <t>428-83-5800</t>
  </si>
  <si>
    <t>704-20-4138</t>
  </si>
  <si>
    <t>649-11-3678</t>
  </si>
  <si>
    <t>622-20-1945</t>
  </si>
  <si>
    <t>563-91-7120</t>
  </si>
  <si>
    <t>527-09-6272</t>
  </si>
  <si>
    <t>692-27-8933</t>
  </si>
  <si>
    <t>633-09-3463</t>
  </si>
  <si>
    <t>374-17-3652</t>
  </si>
  <si>
    <t>433-75-6987</t>
  </si>
  <si>
    <t>873-95-4984</t>
  </si>
  <si>
    <t>416-13-5917</t>
  </si>
  <si>
    <t>135-84-8019</t>
  </si>
  <si>
    <t>725-96-3778</t>
  </si>
  <si>
    <t>400-45-1220</t>
  </si>
  <si>
    <t>860-79-0874</t>
  </si>
  <si>
    <t>115-99-4379</t>
  </si>
  <si>
    <t>320-49-6392</t>
  </si>
  <si>
    <t>889-04-9723</t>
  </si>
  <si>
    <t>632-90-0281</t>
  </si>
  <si>
    <t>554-42-2417</t>
  </si>
  <si>
    <t>605-72-4132</t>
  </si>
  <si>
    <t>272-27-9238</t>
  </si>
  <si>
    <t>834-25-9262</t>
  </si>
  <si>
    <t>122-61-9553</t>
  </si>
  <si>
    <t>613-59-9758</t>
  </si>
  <si>
    <t>201-86-2184</t>
  </si>
  <si>
    <t>261-12-8671</t>
  </si>
  <si>
    <t>730-70-9830</t>
  </si>
  <si>
    <t>422-29-8786</t>
  </si>
  <si>
    <t>667-23-5919</t>
  </si>
  <si>
    <t>843-01-4703</t>
  </si>
  <si>
    <t>182-69-8360</t>
  </si>
  <si>
    <t>462-78-5240</t>
  </si>
  <si>
    <t>868-52-7573</t>
  </si>
  <si>
    <t>153-58-4872</t>
  </si>
  <si>
    <t>662-72-2873</t>
  </si>
  <si>
    <t>725-56-0833</t>
  </si>
  <si>
    <t>394-41-0748</t>
  </si>
  <si>
    <t>541-89-9860</t>
  </si>
  <si>
    <t>173-82-9529</t>
  </si>
  <si>
    <t>308-47-4913</t>
  </si>
  <si>
    <t>885-17-6250</t>
  </si>
  <si>
    <t>726-27-2396</t>
  </si>
  <si>
    <t>316-01-3952</t>
  </si>
  <si>
    <t>793-10-3222</t>
  </si>
  <si>
    <t>110-05-6330</t>
  </si>
  <si>
    <t>831-64-0259</t>
  </si>
  <si>
    <t>587-03-7455</t>
  </si>
  <si>
    <t>725-32-9708</t>
  </si>
  <si>
    <t>256-08-8343</t>
  </si>
  <si>
    <t>372-26-1506</t>
  </si>
  <si>
    <t>244-08-0162</t>
  </si>
  <si>
    <t>750-57-9686</t>
  </si>
  <si>
    <t>186-09-3669</t>
  </si>
  <si>
    <t>848-07-1692</t>
  </si>
  <si>
    <t>745-71-3520</t>
  </si>
  <si>
    <t>266-76-6436</t>
  </si>
  <si>
    <t>740-22-2500</t>
  </si>
  <si>
    <t>271-88-8734</t>
  </si>
  <si>
    <t>650-98-6268</t>
  </si>
  <si>
    <t>325-77-6186</t>
  </si>
  <si>
    <t>459-50-7686</t>
  </si>
  <si>
    <t>837-55-7229</t>
  </si>
  <si>
    <t>810-60-6344</t>
  </si>
  <si>
    <t>394-30-3170</t>
  </si>
  <si>
    <t>138-17-5109</t>
  </si>
  <si>
    <t>301-11-9629</t>
  </si>
  <si>
    <t>390-80-5128</t>
  </si>
  <si>
    <t>296-11-7041</t>
  </si>
  <si>
    <t>449-27-2918</t>
  </si>
  <si>
    <t>891-01-7034</t>
  </si>
  <si>
    <t>727-17-0390</t>
  </si>
  <si>
    <t>767-54-1907</t>
  </si>
  <si>
    <t>710-46-4433</t>
  </si>
  <si>
    <t>325-90-8763</t>
  </si>
  <si>
    <t>234-03-4040</t>
  </si>
  <si>
    <t>326-71-2155</t>
  </si>
  <si>
    <t>320-32-8842</t>
  </si>
  <si>
    <t>878-30-2331</t>
  </si>
  <si>
    <t>440-59-5691</t>
  </si>
  <si>
    <t>233-34-0817</t>
  </si>
  <si>
    <t>767-05-1286</t>
  </si>
  <si>
    <t>340-21-9136</t>
  </si>
  <si>
    <t>676-39-6028</t>
  </si>
  <si>
    <t>485-30-8700</t>
  </si>
  <si>
    <t>246-11-3901</t>
  </si>
  <si>
    <t>493-65-6248</t>
  </si>
  <si>
    <t>438-01-4015</t>
  </si>
  <si>
    <t>709-58-4068</t>
  </si>
  <si>
    <t>627-95-3243</t>
  </si>
  <si>
    <t>686-41-0932</t>
  </si>
  <si>
    <t>510-09-5628</t>
  </si>
  <si>
    <t>608-04-3797</t>
  </si>
  <si>
    <t>148-82-2527</t>
  </si>
  <si>
    <t>556-97-7101</t>
  </si>
  <si>
    <t>862-59-8517</t>
  </si>
  <si>
    <t>401-18-8016</t>
  </si>
  <si>
    <t>420-18-8989</t>
  </si>
  <si>
    <t>573-98-8548</t>
  </si>
  <si>
    <t>282-35-2475</t>
  </si>
  <si>
    <t>387-49-4215</t>
  </si>
  <si>
    <t>862-17-9201</t>
  </si>
  <si>
    <t>602-80-9671</t>
  </si>
  <si>
    <t>347-72-6115</t>
  </si>
  <si>
    <t>209-61-0206</t>
  </si>
  <si>
    <t>595-27-4851</t>
  </si>
  <si>
    <t>413-20-6708</t>
  </si>
  <si>
    <t>734-91-1155</t>
  </si>
  <si>
    <t>451-28-5717</t>
  </si>
  <si>
    <t>609-81-8548</t>
  </si>
  <si>
    <t>719-89-8991</t>
  </si>
  <si>
    <t>827-44-5872</t>
  </si>
  <si>
    <t>236-27-1144</t>
  </si>
  <si>
    <t>892-05-6689</t>
  </si>
  <si>
    <t>339-12-4827</t>
  </si>
  <si>
    <t>308-81-0538</t>
  </si>
  <si>
    <t>358-88-9262</t>
  </si>
  <si>
    <t>173-50-1108</t>
  </si>
  <si>
    <t>841-18-8232</t>
  </si>
  <si>
    <t>647-50-1224</t>
  </si>
  <si>
    <t>539-21-7227</t>
  </si>
  <si>
    <t>213-32-1216</t>
  </si>
  <si>
    <t>582-52-8065</t>
  </si>
  <si>
    <t>210-57-1719</t>
  </si>
  <si>
    <t>198-66-9832</t>
  </si>
  <si>
    <t>283-26-5248</t>
  </si>
  <si>
    <t>218-59-9410</t>
  </si>
  <si>
    <t>134-54-4720</t>
  </si>
  <si>
    <t>698-98-5964</t>
  </si>
  <si>
    <t>718-57-9773</t>
  </si>
  <si>
    <t>651-88-7328</t>
  </si>
  <si>
    <t>241-11-2261</t>
  </si>
  <si>
    <t>408-26-9866</t>
  </si>
  <si>
    <t>834-83-1826</t>
  </si>
  <si>
    <t>797-88-0493</t>
  </si>
  <si>
    <t>443-82-0585</t>
  </si>
  <si>
    <t>339-18-7061</t>
  </si>
  <si>
    <t>359-90-3665</t>
  </si>
  <si>
    <t>278-86-2735</t>
  </si>
  <si>
    <t>695-28-6250</t>
  </si>
  <si>
    <t>788-07-8452</t>
  </si>
  <si>
    <t>560-49-6611</t>
  </si>
  <si>
    <t>880-35-0356</t>
  </si>
  <si>
    <t>123-35-4896</t>
  </si>
  <si>
    <t>258-69-7810</t>
  </si>
  <si>
    <t>334-64-2006</t>
  </si>
  <si>
    <t>881-41-7302</t>
  </si>
  <si>
    <t>642-30-6693</t>
  </si>
  <si>
    <t>484-22-8230</t>
  </si>
  <si>
    <t>559-98-9873</t>
  </si>
  <si>
    <t>544-32-5024</t>
  </si>
  <si>
    <t>421-95-9805</t>
  </si>
  <si>
    <t>277-35-5865</t>
  </si>
  <si>
    <t>509-29-3912</t>
  </si>
  <si>
    <t>641-96-3695</t>
  </si>
  <si>
    <t>420-97-3340</t>
  </si>
  <si>
    <t>436-54-4512</t>
  </si>
  <si>
    <t>670-79-6321</t>
  </si>
  <si>
    <t>852-62-7105</t>
  </si>
  <si>
    <t>135-13-8269</t>
  </si>
  <si>
    <t>308-39-1707</t>
  </si>
  <si>
    <t>318-81-2368</t>
  </si>
  <si>
    <t>364-33-8584</t>
  </si>
  <si>
    <t>695-09-5146</t>
  </si>
  <si>
    <t>155-45-3814</t>
  </si>
  <si>
    <t>131-15-8856</t>
  </si>
  <si>
    <t>859-71-0933</t>
  </si>
  <si>
    <t>563-47-4072</t>
  </si>
  <si>
    <t>169-52-4504</t>
  </si>
  <si>
    <t>250-81-7186</t>
  </si>
  <si>
    <t>562-12-5430</t>
  </si>
  <si>
    <t>816-72-8853</t>
  </si>
  <si>
    <t>322-02-2271</t>
  </si>
  <si>
    <t>725-67-2480</t>
  </si>
  <si>
    <t>641-51-2661</t>
  </si>
  <si>
    <t>714-02-3114</t>
  </si>
  <si>
    <t>518-17-2983</t>
  </si>
  <si>
    <t>190-14-3147</t>
  </si>
  <si>
    <t>408-66-6712</t>
  </si>
  <si>
    <t>679-22-6530</t>
  </si>
  <si>
    <t>576-31-4774</t>
  </si>
  <si>
    <t>811-03-8790</t>
  </si>
  <si>
    <t>752-23-3760</t>
  </si>
  <si>
    <t>274-05-5470</t>
  </si>
  <si>
    <t>528-87-5606</t>
  </si>
  <si>
    <t>320-85-2052</t>
  </si>
  <si>
    <t>370-96-0655</t>
  </si>
  <si>
    <t>510-79-0415</t>
  </si>
  <si>
    <t>241-96-5076</t>
  </si>
  <si>
    <t>767-97-4650</t>
  </si>
  <si>
    <t>305-03-2383</t>
  </si>
  <si>
    <t>394-55-6384</t>
  </si>
  <si>
    <t>196-01-2849</t>
  </si>
  <si>
    <t>372-62-5264</t>
  </si>
  <si>
    <t>800-09-8606</t>
  </si>
  <si>
    <t>182-52-7000</t>
  </si>
  <si>
    <t>626-43-7888</t>
  </si>
  <si>
    <t>191-29-0321</t>
  </si>
  <si>
    <t>640-48-5028</t>
  </si>
  <si>
    <t>834-45-5519</t>
  </si>
  <si>
    <t>728-88-7867</t>
  </si>
  <si>
    <t>183-21-3799</t>
  </si>
  <si>
    <t>268-20-3585</t>
  </si>
  <si>
    <t>258-92-7466</t>
  </si>
  <si>
    <t>857-16-3520</t>
  </si>
  <si>
    <t>821-14-9046</t>
  </si>
  <si>
    <t>418-05-0656</t>
  </si>
  <si>
    <t>678-79-0726</t>
  </si>
  <si>
    <t>592-46-1692</t>
  </si>
  <si>
    <t>149-14-0304</t>
  </si>
  <si>
    <t>299-29-0180</t>
  </si>
  <si>
    <t>247-11-2470</t>
  </si>
  <si>
    <t>386-27-7606</t>
  </si>
  <si>
    <t>373-14-0504</t>
  </si>
  <si>
    <t>345-68-9016</t>
  </si>
  <si>
    <t>390-17-5806</t>
  </si>
  <si>
    <t>664-14-2882</t>
  </si>
  <si>
    <t>487-79-6868</t>
  </si>
  <si>
    <t>210-30-7976</t>
  </si>
  <si>
    <t>585-86-8361</t>
  </si>
  <si>
    <t>807-14-7833</t>
  </si>
  <si>
    <t>288-38-3758</t>
  </si>
  <si>
    <t>652-43-6591</t>
  </si>
  <si>
    <t>785-96-0615</t>
  </si>
  <si>
    <t>406-46-7107</t>
  </si>
  <si>
    <t>156-95-3964</t>
  </si>
  <si>
    <t>842-40-8179</t>
  </si>
  <si>
    <t>410-67-1709</t>
  </si>
  <si>
    <t>587-73-4862</t>
  </si>
  <si>
    <t>593-14-4239</t>
  </si>
  <si>
    <t>801-88-0346</t>
  </si>
  <si>
    <t>711-31-1234</t>
  </si>
  <si>
    <t>886-54-6089</t>
  </si>
  <si>
    <t>707-32-7409</t>
  </si>
  <si>
    <t>759-98-4285</t>
  </si>
  <si>
    <t>201-63-8275</t>
  </si>
  <si>
    <t>471-06-8611</t>
  </si>
  <si>
    <t>120-54-2248</t>
  </si>
  <si>
    <t>534-53-3526</t>
  </si>
  <si>
    <t>307-04-2070</t>
  </si>
  <si>
    <t>468-99-7231</t>
  </si>
  <si>
    <t>516-77-6464</t>
  </si>
  <si>
    <t>790-38-4466</t>
  </si>
  <si>
    <t>744-16-7898</t>
  </si>
  <si>
    <t>702-72-0487</t>
  </si>
  <si>
    <t>443-60-9639</t>
  </si>
  <si>
    <t>864-24-7918</t>
  </si>
  <si>
    <t>324-41-6833</t>
  </si>
  <si>
    <t>759-29-9521</t>
  </si>
  <si>
    <t>831-81-6575</t>
  </si>
  <si>
    <t>220-68-6701</t>
  </si>
  <si>
    <t>618-34-8551</t>
  </si>
  <si>
    <t>257-60-7754</t>
  </si>
  <si>
    <t>559-61-5987</t>
  </si>
  <si>
    <t>189-55-2313</t>
  </si>
  <si>
    <t>380-60-5336</t>
  </si>
  <si>
    <t>815-04-6282</t>
  </si>
  <si>
    <t>778-34-2523</t>
  </si>
  <si>
    <t>499-27-7781</t>
  </si>
  <si>
    <t>477-59-2456</t>
  </si>
  <si>
    <t>186-43-8965</t>
  </si>
  <si>
    <t>276-75-6884</t>
  </si>
  <si>
    <t>109-86-4363</t>
  </si>
  <si>
    <t>569-76-2760</t>
  </si>
  <si>
    <t>222-42-0244</t>
  </si>
  <si>
    <t>416-17-9926</t>
  </si>
  <si>
    <t>343-75-9322</t>
  </si>
  <si>
    <t>427-45-9297</t>
  </si>
  <si>
    <t>271-77-8740</t>
  </si>
  <si>
    <t>860-73-6466</t>
  </si>
  <si>
    <t>549-23-9016</t>
  </si>
  <si>
    <t>862-29-5914</t>
  </si>
  <si>
    <t>845-94-6841</t>
  </si>
  <si>
    <t>125-45-2293</t>
  </si>
  <si>
    <t>409-33-9708</t>
  </si>
  <si>
    <t>866-70-2814</t>
  </si>
  <si>
    <t>160-22-2687</t>
  </si>
  <si>
    <t>895-03-6665</t>
  </si>
  <si>
    <t>748-45-2862</t>
  </si>
  <si>
    <t>316-66-3011</t>
  </si>
  <si>
    <t>848-95-6252</t>
  </si>
  <si>
    <t>152-03-4217</t>
  </si>
  <si>
    <t>533-66-5566</t>
  </si>
  <si>
    <t>124-31-1458</t>
  </si>
  <si>
    <t>101-81-4070</t>
  </si>
  <si>
    <t>544-55-9589</t>
  </si>
  <si>
    <t>448-61-3783</t>
  </si>
  <si>
    <t>761-49-0439</t>
  </si>
  <si>
    <t>490-95-0021</t>
  </si>
  <si>
    <t>115-38-7388</t>
  </si>
  <si>
    <t>291-55-6563</t>
  </si>
  <si>
    <t>548-48-3156</t>
  </si>
  <si>
    <t>884-80-6021</t>
  </si>
  <si>
    <t>137-74-8729</t>
  </si>
  <si>
    <t>389-70-2397</t>
  </si>
  <si>
    <t>114-35-5271</t>
  </si>
  <si>
    <t>607-76-6216</t>
  </si>
  <si>
    <t>409-49-6995</t>
  </si>
  <si>
    <t>377-79-7592</t>
  </si>
  <si>
    <t>595-94-9924</t>
  </si>
  <si>
    <t>545-07-8534</t>
  </si>
  <si>
    <t>118-62-1812</t>
  </si>
  <si>
    <t>851-98-3555</t>
  </si>
  <si>
    <t>186-71-5196</t>
  </si>
  <si>
    <t>624-01-8356</t>
  </si>
  <si>
    <t>313-66-9943</t>
  </si>
  <si>
    <t>151-27-8496</t>
  </si>
  <si>
    <t>453-33-6436</t>
  </si>
  <si>
    <t>459-45-2396</t>
  </si>
  <si>
    <t>717-96-4189</t>
  </si>
  <si>
    <t>749-81-8133</t>
  </si>
  <si>
    <t>636-98-3364</t>
  </si>
  <si>
    <t>246-55-6923</t>
  </si>
  <si>
    <t>181-82-6255</t>
  </si>
  <si>
    <t>838-02-1821</t>
  </si>
  <si>
    <t>887-42-0517</t>
  </si>
  <si>
    <t>457-12-0244</t>
  </si>
  <si>
    <t>226-34-0034</t>
  </si>
  <si>
    <t>397-25-8725</t>
  </si>
  <si>
    <t>431-66-2305</t>
  </si>
  <si>
    <t>756-93-1854</t>
  </si>
  <si>
    <t>243-55-8457</t>
  </si>
  <si>
    <t>501-61-1753</t>
  </si>
  <si>
    <t>433-08-7822</t>
  </si>
  <si>
    <t>361-85-2571</t>
  </si>
  <si>
    <t>131-70-8179</t>
  </si>
  <si>
    <t>500-02-2261</t>
  </si>
  <si>
    <t>809-69-9497</t>
  </si>
  <si>
    <t>489-82-1237</t>
  </si>
  <si>
    <t>365-16-4334</t>
  </si>
  <si>
    <t>305-89-2768</t>
  </si>
  <si>
    <t>574-80-1489</t>
  </si>
  <si>
    <t>784-08-0310</t>
  </si>
  <si>
    <t>846-10-0341</t>
  </si>
  <si>
    <t>867-47-1948</t>
  </si>
  <si>
    <t>384-59-6655</t>
  </si>
  <si>
    <t>593-08-5916</t>
  </si>
  <si>
    <t>172-42-8274</t>
  </si>
  <si>
    <t>558-60-5016</t>
  </si>
  <si>
    <t>605-03-2706</t>
  </si>
  <si>
    <t>214-30-2776</t>
  </si>
  <si>
    <t>746-04-1077</t>
  </si>
  <si>
    <t>221-25-5073</t>
  </si>
  <si>
    <t>156-20-0370</t>
  </si>
  <si>
    <t>151-33-7434</t>
  </si>
  <si>
    <t>139-32-4183</t>
  </si>
  <si>
    <t>374-38-5555</t>
  </si>
  <si>
    <t>764-44-8999</t>
  </si>
  <si>
    <t>886-18-2897</t>
  </si>
  <si>
    <t>602-16-6955</t>
  </si>
  <si>
    <t>652-49-6720</t>
  </si>
  <si>
    <t>303-96-2227</t>
  </si>
  <si>
    <t>849-09-3807</t>
  </si>
  <si>
    <t>Male</t>
  </si>
  <si>
    <t>631-41-3108</t>
  </si>
  <si>
    <t>123-19-1176</t>
  </si>
  <si>
    <t>373-73-7910</t>
  </si>
  <si>
    <t>699-14-3026</t>
  </si>
  <si>
    <t>529-56-3974</t>
  </si>
  <si>
    <t>252-56-2699</t>
  </si>
  <si>
    <t>765-26-6951</t>
  </si>
  <si>
    <t>329-62-1586</t>
  </si>
  <si>
    <t>300-71-4605</t>
  </si>
  <si>
    <t>371-85-5789</t>
  </si>
  <si>
    <t>273-16-6619</t>
  </si>
  <si>
    <t>636-48-8204</t>
  </si>
  <si>
    <t>549-59-1358</t>
  </si>
  <si>
    <t>649-29-6775</t>
  </si>
  <si>
    <t>848-62-7243</t>
  </si>
  <si>
    <t>871-79-8483</t>
  </si>
  <si>
    <t>149-71-6266</t>
  </si>
  <si>
    <t>640-49-2076</t>
  </si>
  <si>
    <t>595-11-5460</t>
  </si>
  <si>
    <t>129-29-8530</t>
  </si>
  <si>
    <t>777-82-7220</t>
  </si>
  <si>
    <t>554-53-8700</t>
  </si>
  <si>
    <t>617-15-4209</t>
  </si>
  <si>
    <t>370-41-7321</t>
  </si>
  <si>
    <t>669-54-1719</t>
  </si>
  <si>
    <t>326-78-5178</t>
  </si>
  <si>
    <t>778-71-5554</t>
  </si>
  <si>
    <t>242-55-6721</t>
  </si>
  <si>
    <t>106-35-6779</t>
  </si>
  <si>
    <t>635-40-6220</t>
  </si>
  <si>
    <t>120-06-4233</t>
  </si>
  <si>
    <t>803-83-5989</t>
  </si>
  <si>
    <t>199-75-8169</t>
  </si>
  <si>
    <t>853-23-2453</t>
  </si>
  <si>
    <t>877-22-3308</t>
  </si>
  <si>
    <t>232-11-3025</t>
  </si>
  <si>
    <t>393-65-2792</t>
  </si>
  <si>
    <t>796-12-2025</t>
  </si>
  <si>
    <t>287-21-9091</t>
  </si>
  <si>
    <t>263-10-3913</t>
  </si>
  <si>
    <t>480-63-2856</t>
  </si>
  <si>
    <t>360-39-5055</t>
  </si>
  <si>
    <t>362-58-8315</t>
  </si>
  <si>
    <t>633-44-8566</t>
  </si>
  <si>
    <t>504-35-8843</t>
  </si>
  <si>
    <t>152-08-9985</t>
  </si>
  <si>
    <t>512-91-0811</t>
  </si>
  <si>
    <t>594-34-4444</t>
  </si>
  <si>
    <t>766-85-7061</t>
  </si>
  <si>
    <t>865-92-6136</t>
  </si>
  <si>
    <t>733-01-9107</t>
  </si>
  <si>
    <t>163-56-7055</t>
  </si>
  <si>
    <t>189-98-2939</t>
  </si>
  <si>
    <t>212-62-1842</t>
  </si>
  <si>
    <t>716-39-1409</t>
  </si>
  <si>
    <t>704-48-3927</t>
  </si>
  <si>
    <t>628-34-3388</t>
  </si>
  <si>
    <t>630-74-5166</t>
  </si>
  <si>
    <t>861-77-0145</t>
  </si>
  <si>
    <t>645-44-1170</t>
  </si>
  <si>
    <t>291-32-1427</t>
  </si>
  <si>
    <t>659-65-8956</t>
  </si>
  <si>
    <t>378-24-2715</t>
  </si>
  <si>
    <t>659-36-1684</t>
  </si>
  <si>
    <t>219-22-9386</t>
  </si>
  <si>
    <t>336-78-2147</t>
  </si>
  <si>
    <t>590-83-4591</t>
  </si>
  <si>
    <t>597-78-7908</t>
  </si>
  <si>
    <t>241-72-9525</t>
  </si>
  <si>
    <t>575-30-8091</t>
  </si>
  <si>
    <t>280-17-4359</t>
  </si>
  <si>
    <t>568-90-5112</t>
  </si>
  <si>
    <t>262-47-2794</t>
  </si>
  <si>
    <t>238-49-0436</t>
  </si>
  <si>
    <t>584-86-7256</t>
  </si>
  <si>
    <t>746-94-0204</t>
  </si>
  <si>
    <t>782-95-9291</t>
  </si>
  <si>
    <t>279-74-2924</t>
  </si>
  <si>
    <t>307-85-2293</t>
  </si>
  <si>
    <t>743-04-1105</t>
  </si>
  <si>
    <t>423-57-2993</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</si>
  <si>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</si>
  <si>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</si>
  <si>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</si>
  <si>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</si>
  <si>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</si>
  <si>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</si>
  <si>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</si>
  <si>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</si>
  <si>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</si>
  <si>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</si>
  <si>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</si>
  <si>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</si>
  <si>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</si>
  <si>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</si>
  <si>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</si>
  <si>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</si>
  <si>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407-63-8975</t>
  </si>
  <si>
    <t>342-65-4817</t>
  </si>
  <si>
    <t>130-98-8941</t>
  </si>
  <si>
    <t>434-83-9547</t>
  </si>
  <si>
    <t>851-28-6367</t>
  </si>
  <si>
    <t>824-88-3614</t>
  </si>
  <si>
    <t>895-66-0685</t>
  </si>
  <si>
    <t>732-04-5373</t>
  </si>
  <si>
    <t>400-60-7251</t>
  </si>
  <si>
    <t>641-43-2399</t>
  </si>
  <si>
    <t>831-07-6050</t>
  </si>
  <si>
    <t>848-24-9445</t>
  </si>
  <si>
    <t>699-01-4164</t>
  </si>
  <si>
    <t>426-39-2418</t>
  </si>
  <si>
    <t>875-46-5808</t>
  </si>
  <si>
    <t>394-43-4238</t>
  </si>
  <si>
    <t>888-02-0338</t>
  </si>
  <si>
    <t>142-63-6033</t>
  </si>
  <si>
    <t>656-16-1063</t>
  </si>
  <si>
    <t>802-43-8934</t>
  </si>
  <si>
    <t>549-03-9315</t>
  </si>
  <si>
    <t>239-36-3640</t>
  </si>
  <si>
    <t>468-01-2051</t>
  </si>
  <si>
    <t>389-25-3394</t>
  </si>
  <si>
    <t>213-72-6612</t>
  </si>
  <si>
    <t>836-82-5858</t>
  </si>
  <si>
    <t>583-72-1480</t>
  </si>
  <si>
    <t>269-04-5750</t>
  </si>
  <si>
    <t>157-13-5295</t>
  </si>
  <si>
    <t>211-30-9270</t>
  </si>
  <si>
    <t>478-06-7835</t>
  </si>
  <si>
    <t>540-11-4336</t>
  </si>
  <si>
    <t>448-81-5016</t>
  </si>
  <si>
    <t>142-72-4741</t>
  </si>
  <si>
    <t>217-58-1179</t>
  </si>
  <si>
    <t>376-02-8238</t>
  </si>
  <si>
    <t>530-90-9855</t>
  </si>
  <si>
    <t>604-70-6476</t>
  </si>
  <si>
    <t>799-71-1548</t>
  </si>
  <si>
    <t>785-13-7708</t>
  </si>
  <si>
    <t>845-51-0542</t>
  </si>
  <si>
    <t>662-47-5456</t>
  </si>
  <si>
    <t>290-68-2984</t>
  </si>
  <si>
    <t>704-11-6354</t>
  </si>
  <si>
    <t>110-48-7033</t>
  </si>
  <si>
    <t>366-93-0948</t>
  </si>
  <si>
    <t>729-09-9681</t>
  </si>
  <si>
    <t>151-16-1484</t>
  </si>
  <si>
    <t>380-94-4661</t>
  </si>
  <si>
    <t>154-74-7179</t>
  </si>
  <si>
    <t>808-65-0703</t>
  </si>
  <si>
    <t>144-51-6085</t>
  </si>
  <si>
    <t>566-19-5475</t>
  </si>
  <si>
    <t>537-72-0426</t>
  </si>
  <si>
    <t>828-61-5674</t>
  </si>
  <si>
    <t>523-38-0215</t>
  </si>
  <si>
    <t>667-92-0055</t>
  </si>
  <si>
    <t>498-41-1961</t>
  </si>
  <si>
    <t>593-95-4461</t>
  </si>
  <si>
    <t>139-20-0155</t>
  </si>
  <si>
    <t>558-80-4082</t>
  </si>
  <si>
    <t>585-03-5943</t>
  </si>
  <si>
    <t>727-75-6477</t>
  </si>
  <si>
    <t>744-02-5987</t>
  </si>
  <si>
    <t>307-83-9164</t>
  </si>
  <si>
    <t>446-47-6729</t>
  </si>
  <si>
    <t>573-10-3877</t>
  </si>
  <si>
    <t>735-06-4124</t>
  </si>
  <si>
    <t>411-77-0180</t>
  </si>
  <si>
    <t>532-59-7201</t>
  </si>
  <si>
    <t>181-94-6432</t>
  </si>
  <si>
    <t>174-36-3675</t>
  </si>
  <si>
    <t>603-07-0961</t>
  </si>
  <si>
    <t>787-15-1757</t>
  </si>
  <si>
    <t>372-94-8041</t>
  </si>
  <si>
    <t>746-54-5508</t>
  </si>
  <si>
    <t>276-54-0879</t>
  </si>
  <si>
    <t>815-11-1168</t>
  </si>
  <si>
    <t>719-76-3868</t>
  </si>
  <si>
    <t>730-61-8757</t>
  </si>
  <si>
    <t>340-66-0321</t>
  </si>
  <si>
    <t>868-81-1752</t>
  </si>
  <si>
    <t>634-97-8956</t>
  </si>
  <si>
    <t>566-71-1091</t>
  </si>
  <si>
    <t>442-48-3607</t>
  </si>
  <si>
    <t>835-16-0096</t>
  </si>
  <si>
    <t>898-04-2717</t>
  </si>
  <si>
    <t>378-07-7001</t>
  </si>
  <si>
    <t>150-89-8043</t>
  </si>
  <si>
    <t>441-94-7118</t>
  </si>
  <si>
    <t>531-80-1784</t>
  </si>
  <si>
    <t>834-61-8124</t>
  </si>
  <si>
    <t>565-67-6697</t>
  </si>
  <si>
    <t>453-63-6187</t>
  </si>
  <si>
    <t>578-80-7669</t>
  </si>
  <si>
    <t>612-36-5536</t>
  </si>
  <si>
    <t>471-41-2823</t>
  </si>
  <si>
    <t>462-67-9126</t>
  </si>
  <si>
    <t>468-88-0009</t>
  </si>
  <si>
    <t>254-31-0042</t>
  </si>
  <si>
    <t>382-25-8917</t>
  </si>
  <si>
    <t>743-88-1662</t>
  </si>
  <si>
    <t>595-86-2894</t>
  </si>
  <si>
    <t>289-15-7034</t>
  </si>
  <si>
    <t>525-88-7307</t>
  </si>
  <si>
    <t>689-16-9784</t>
  </si>
  <si>
    <t>596-42-3999</t>
  </si>
  <si>
    <t>563-36-9814</t>
  </si>
  <si>
    <t>760-54-1821</t>
  </si>
  <si>
    <t>346-12-3257</t>
  </si>
  <si>
    <t>651-61-0874</t>
  </si>
  <si>
    <t>236-86-3015</t>
  </si>
  <si>
    <t>882-40-4577</t>
  </si>
  <si>
    <t>732-67-5346</t>
  </si>
  <si>
    <t>569-71-4390</t>
  </si>
  <si>
    <t>132-23-6451</t>
  </si>
  <si>
    <t>696-90-2548</t>
  </si>
  <si>
    <t>472-15-9636</t>
  </si>
  <si>
    <t>268-03-6164</t>
  </si>
  <si>
    <t>301-81-8610</t>
  </si>
  <si>
    <t>489-64-4354</t>
  </si>
  <si>
    <t>198-84-7132</t>
  </si>
  <si>
    <t>269-10-8440</t>
  </si>
  <si>
    <t>741-73-3559</t>
  </si>
  <si>
    <t>286-75-7818</t>
  </si>
  <si>
    <t>574-57-9721</t>
  </si>
  <si>
    <t>616-87-0016</t>
  </si>
  <si>
    <t>751-69-0068</t>
  </si>
  <si>
    <t>257-73-1380</t>
  </si>
  <si>
    <t>345-08-4992</t>
  </si>
  <si>
    <t>549-96-4200</t>
  </si>
  <si>
    <t>450-28-2866</t>
  </si>
  <si>
    <t>192-98-7397</t>
  </si>
  <si>
    <t>235-46-8343</t>
  </si>
  <si>
    <t>453-12-7053</t>
  </si>
  <si>
    <t>744-09-5786</t>
  </si>
  <si>
    <t>568-88-3448</t>
  </si>
  <si>
    <t>187-83-5490</t>
  </si>
  <si>
    <t>533-33-5337</t>
  </si>
  <si>
    <t>729-46-7422</t>
  </si>
  <si>
    <t>639-76-1242</t>
  </si>
  <si>
    <t>470-32-9057</t>
  </si>
  <si>
    <t>554-53-3790</t>
  </si>
  <si>
    <t>746-19-0921</t>
  </si>
  <si>
    <t>405-31-3305</t>
  </si>
  <si>
    <t>731-59-7531</t>
  </si>
  <si>
    <t>502-05-1910</t>
  </si>
  <si>
    <t>598-47-9715</t>
  </si>
  <si>
    <t>701-69-8742</t>
  </si>
  <si>
    <t>575-67-1508</t>
  </si>
  <si>
    <t>541-08-3113</t>
  </si>
  <si>
    <t>674-15-9296</t>
  </si>
  <si>
    <t>305-18-3552</t>
  </si>
  <si>
    <t>795-49-7276</t>
  </si>
  <si>
    <t>556-72-8512</t>
  </si>
  <si>
    <t>437-53-3084</t>
  </si>
  <si>
    <t>632-32-4574</t>
  </si>
  <si>
    <t>277-63-2961</t>
  </si>
  <si>
    <t>620-02-2046</t>
  </si>
  <si>
    <t>511-54-3087</t>
  </si>
  <si>
    <t>726-29-6793</t>
  </si>
  <si>
    <t>291-21-5991</t>
  </si>
  <si>
    <t>189-52-0236</t>
  </si>
  <si>
    <t>503-07-0930</t>
  </si>
  <si>
    <t>425-85-2085</t>
  </si>
  <si>
    <t>521-18-7827</t>
  </si>
  <si>
    <t>220-28-1851</t>
  </si>
  <si>
    <t>600-38-9738</t>
  </si>
  <si>
    <t>133-14-7229</t>
  </si>
  <si>
    <t>534-01-4457</t>
  </si>
  <si>
    <t>286-62-6248</t>
  </si>
  <si>
    <t>339-38-9982</t>
  </si>
  <si>
    <t>827-77-7633</t>
  </si>
  <si>
    <t>287-83-1405</t>
  </si>
  <si>
    <t>435-13-4908</t>
  </si>
  <si>
    <t>857-67-9057</t>
  </si>
  <si>
    <t>583-41-4548</t>
  </si>
  <si>
    <t>643-38-7867</t>
  </si>
  <si>
    <t>460-35-4390</t>
  </si>
  <si>
    <t>343-87-0864</t>
  </si>
  <si>
    <t>243-47-2663</t>
  </si>
  <si>
    <t>701-23-5550</t>
  </si>
  <si>
    <t>541-48-8554</t>
  </si>
  <si>
    <t>747-58-7183</t>
  </si>
  <si>
    <t>399-69-4630</t>
  </si>
  <si>
    <t>134-75-2619</t>
  </si>
  <si>
    <t>356-44-8813</t>
  </si>
  <si>
    <t>712-39-0363</t>
  </si>
  <si>
    <t>174-75-0888</t>
  </si>
  <si>
    <t>866-99-7614</t>
  </si>
  <si>
    <t>760-90-2357</t>
  </si>
  <si>
    <t>514-37-2845</t>
  </si>
  <si>
    <t>343-61-3544</t>
  </si>
  <si>
    <t>239-48-4278</t>
  </si>
  <si>
    <t>355-34-6244</t>
  </si>
  <si>
    <t>550-84-8664</t>
  </si>
  <si>
    <t>339-96-8318</t>
  </si>
  <si>
    <t>458-61-0011</t>
  </si>
  <si>
    <t>592-34-6155</t>
  </si>
  <si>
    <t>207-73-1363</t>
  </si>
  <si>
    <t>390-31-6381</t>
  </si>
  <si>
    <t>375-72-3056</t>
  </si>
  <si>
    <t>127-47-6963</t>
  </si>
  <si>
    <t>379-17-6588</t>
  </si>
  <si>
    <t>227-50-3718</t>
  </si>
  <si>
    <t>302-15-2162</t>
  </si>
  <si>
    <t>585-11-6748</t>
  </si>
  <si>
    <t>470-31-3286</t>
  </si>
  <si>
    <t>152-68-2907</t>
  </si>
  <si>
    <t>219-61-4139</t>
  </si>
  <si>
    <t>373-09-4567</t>
  </si>
  <si>
    <t>830-58-2383</t>
  </si>
  <si>
    <t>318-12-0304</t>
  </si>
  <si>
    <t>349-97-8902</t>
  </si>
  <si>
    <t>789-23-8625</t>
  </si>
  <si>
    <t>284-54-4231</t>
  </si>
  <si>
    <t>443-59-0061</t>
  </si>
  <si>
    <t>327-40-9673</t>
  </si>
  <si>
    <t>840-19-2096</t>
  </si>
  <si>
    <t>828-46-6863</t>
  </si>
  <si>
    <t>598-06-7312</t>
  </si>
  <si>
    <t>816-57-2053</t>
  </si>
  <si>
    <t>628-90-8624</t>
  </si>
  <si>
    <t>856-66-2701</t>
  </si>
  <si>
    <t>149-61-1929</t>
  </si>
  <si>
    <t>655-07-2265</t>
  </si>
  <si>
    <t>589-02-8023</t>
  </si>
  <si>
    <t>420-04-7590</t>
  </si>
  <si>
    <t>182-88-2763</t>
  </si>
  <si>
    <t>188-55-0967</t>
  </si>
  <si>
    <t>610-46-4100</t>
  </si>
  <si>
    <t>665-63-9737</t>
  </si>
  <si>
    <t>794-32-2436</t>
  </si>
  <si>
    <t>273-84-2164</t>
  </si>
  <si>
    <t>706-36-6154</t>
  </si>
  <si>
    <t>778-89-7974</t>
  </si>
  <si>
    <t>574-31-8277</t>
  </si>
  <si>
    <t>740-11-5257</t>
  </si>
  <si>
    <t>369-82-2676</t>
  </si>
  <si>
    <t>742-04-5161</t>
  </si>
  <si>
    <t>149-15-7606</t>
  </si>
  <si>
    <t>133-77-3154</t>
  </si>
  <si>
    <t>491-38-3499</t>
  </si>
  <si>
    <t>842-29-4695</t>
  </si>
  <si>
    <t>779-42-2410</t>
  </si>
  <si>
    <t>588-47-8641</t>
  </si>
  <si>
    <t>642-61-4706</t>
  </si>
  <si>
    <t>556-41-6224</t>
  </si>
  <si>
    <t>242-11-3142</t>
  </si>
  <si>
    <t>648-94-3045</t>
  </si>
  <si>
    <t>130-67-4723</t>
  </si>
  <si>
    <t>105-10-6182</t>
  </si>
  <si>
    <t>648-83-1321</t>
  </si>
  <si>
    <t>173-57-2300</t>
  </si>
  <si>
    <t>266-20-6657</t>
  </si>
  <si>
    <t>689-05-1884</t>
  </si>
  <si>
    <t>826-58-8051</t>
  </si>
  <si>
    <t>868-06-0466</t>
  </si>
  <si>
    <t>751-41-9720</t>
  </si>
  <si>
    <t>176-64-7711</t>
  </si>
  <si>
    <t>729-06-2010</t>
  </si>
  <si>
    <t>186-79-9562</t>
  </si>
  <si>
    <t>162-65-8559</t>
  </si>
  <si>
    <t>760-27-5490</t>
  </si>
  <si>
    <t>445-30-9252</t>
  </si>
  <si>
    <t>786-94-2700</t>
  </si>
  <si>
    <t>735-32-9839</t>
  </si>
  <si>
    <t>482-17-1179</t>
  </si>
  <si>
    <t>788-21-5741</t>
  </si>
  <si>
    <t>776-68-1096</t>
  </si>
  <si>
    <t>434-35-9162</t>
  </si>
  <si>
    <t>442-44-6497</t>
  </si>
  <si>
    <t>174-64-0215</t>
  </si>
  <si>
    <t>210-74-9613</t>
  </si>
  <si>
    <t>635-28-5728</t>
  </si>
  <si>
    <t>756-49-0168</t>
  </si>
  <si>
    <t>438-23-1242</t>
  </si>
  <si>
    <t>238-45-6950</t>
  </si>
  <si>
    <t>607-65-2441</t>
  </si>
  <si>
    <t>137-63-5492</t>
  </si>
  <si>
    <t>197-77-7132</t>
  </si>
  <si>
    <t>805-86-0265</t>
  </si>
  <si>
    <t>733-29-1227</t>
  </si>
  <si>
    <t>451-73-2711</t>
  </si>
  <si>
    <t>546-80-2899</t>
  </si>
  <si>
    <t>457-13-1708</t>
  </si>
  <si>
    <t>314-23-4520</t>
  </si>
  <si>
    <t>775-72-1988</t>
  </si>
  <si>
    <t>250-17-5703</t>
  </si>
  <si>
    <t>525-09-8450</t>
  </si>
  <si>
    <t>787-87-2010</t>
  </si>
  <si>
    <t>388-76-2555</t>
  </si>
  <si>
    <t>200-16-5952</t>
  </si>
  <si>
    <t>102-77-2261</t>
  </si>
  <si>
    <t>875-31-8302</t>
  </si>
  <si>
    <t>102-06-2002</t>
  </si>
  <si>
    <t>457-94-0464</t>
  </si>
  <si>
    <t>629-42-4133</t>
  </si>
  <si>
    <t>404-91-5964</t>
  </si>
  <si>
    <t>886-77-9084</t>
  </si>
  <si>
    <t>704-10-4056</t>
  </si>
  <si>
    <t>497-37-6538</t>
  </si>
  <si>
    <t>651-96-5970</t>
  </si>
  <si>
    <t>400-80-4065</t>
  </si>
  <si>
    <t>263-12-5321</t>
  </si>
  <si>
    <t>605-83-1050</t>
  </si>
  <si>
    <t>359-94-5395</t>
  </si>
  <si>
    <t>401-09-4232</t>
  </si>
  <si>
    <t>751-15-6198</t>
  </si>
  <si>
    <t>474-33-8305</t>
  </si>
  <si>
    <t>565-91-4567</t>
  </si>
  <si>
    <t>674-56-6360</t>
  </si>
  <si>
    <t>832-51-6761</t>
  </si>
  <si>
    <t>869-11-3082</t>
  </si>
  <si>
    <t>190-59-3964</t>
  </si>
  <si>
    <t>366-43-6862</t>
  </si>
  <si>
    <t>784-21-9238</t>
  </si>
  <si>
    <t>760-53-9233</t>
  </si>
  <si>
    <t>538-22-0304</t>
  </si>
  <si>
    <t>237-44-6163</t>
  </si>
  <si>
    <t>636-17-0325</t>
  </si>
  <si>
    <t>528-14-9470</t>
  </si>
  <si>
    <t>807-34-3742</t>
  </si>
  <si>
    <t>288-62-1085</t>
  </si>
  <si>
    <t>670-71-7306</t>
  </si>
  <si>
    <t>660-29-7083</t>
  </si>
  <si>
    <t>497-36-0989</t>
  </si>
  <si>
    <t>291-59-1384</t>
  </si>
  <si>
    <t>896-34-0956</t>
  </si>
  <si>
    <t>804-38-3935</t>
  </si>
  <si>
    <t>585-90-0249</t>
  </si>
  <si>
    <t>843-73-4724</t>
  </si>
  <si>
    <t>658-66-3967</t>
  </si>
  <si>
    <t>770-42-8960</t>
  </si>
  <si>
    <t>234-36-2483</t>
  </si>
  <si>
    <t>840-76-5966</t>
  </si>
  <si>
    <t>176-78-1170</t>
  </si>
  <si>
    <t>361-59-0574</t>
  </si>
  <si>
    <t>631-34-1880</t>
  </si>
  <si>
    <t>852-82-2749</t>
  </si>
  <si>
    <t>873-14-6353</t>
  </si>
  <si>
    <t>584-66-4073</t>
  </si>
  <si>
    <t>166-19-2553</t>
  </si>
  <si>
    <t>737-88-5876</t>
  </si>
  <si>
    <t>154-87-7367</t>
  </si>
  <si>
    <t>885-56-0389</t>
  </si>
  <si>
    <t>608-05-3804</t>
  </si>
  <si>
    <t>311-13-6971</t>
  </si>
  <si>
    <t>460-93-5834</t>
  </si>
  <si>
    <t>325-89-4209</t>
  </si>
  <si>
    <t>880-46-5796</t>
  </si>
  <si>
    <t>715-20-1673</t>
  </si>
  <si>
    <t>811-35-1094</t>
  </si>
  <si>
    <t>699-88-1972</t>
  </si>
  <si>
    <t>781-84-8059</t>
  </si>
  <si>
    <t>725-54-0677</t>
  </si>
  <si>
    <t>146-09-5432</t>
  </si>
  <si>
    <t>509-10-0516</t>
  </si>
  <si>
    <t>865-41-9075</t>
  </si>
  <si>
    <t>450-42-3339</t>
  </si>
  <si>
    <t>522-57-8364</t>
  </si>
  <si>
    <t>722-13-2115</t>
  </si>
  <si>
    <t>777-67-2495</t>
  </si>
  <si>
    <t>321-49-7382</t>
  </si>
  <si>
    <t>825-94-5922</t>
  </si>
  <si>
    <t>641-62-7288</t>
  </si>
  <si>
    <t>458-10-8612</t>
  </si>
  <si>
    <t>235-06-8510</t>
  </si>
  <si>
    <t>720-72-2436</t>
  </si>
  <si>
    <t>702-83-5291</t>
  </si>
  <si>
    <t>449-16-6770</t>
  </si>
  <si>
    <t>333-23-2632</t>
  </si>
  <si>
    <t>859-97-6048</t>
  </si>
  <si>
    <t>676-10-2200</t>
  </si>
  <si>
    <t>373-88-1424</t>
  </si>
  <si>
    <t>503-21-4385</t>
  </si>
  <si>
    <t>200-40-6154</t>
  </si>
  <si>
    <t>577-34-7579</t>
  </si>
  <si>
    <t>430-02-3888</t>
  </si>
  <si>
    <t>256-58-3609</t>
  </si>
  <si>
    <t>324-92-3863</t>
  </si>
  <si>
    <t>364-34-2972</t>
  </si>
  <si>
    <t>794-42-3736</t>
  </si>
  <si>
    <t>195-06-0432</t>
  </si>
  <si>
    <t>448-34-8700</t>
  </si>
  <si>
    <t>452-04-8808</t>
  </si>
  <si>
    <t>531-56-4728</t>
  </si>
  <si>
    <t>744-82-9138</t>
  </si>
  <si>
    <t>883-69-1285</t>
  </si>
  <si>
    <t>518-71-6847</t>
  </si>
  <si>
    <t>728-47-9078</t>
  </si>
  <si>
    <t>809-46-1866</t>
  </si>
  <si>
    <t>148-41-7930</t>
  </si>
  <si>
    <t>189-40-5216</t>
  </si>
  <si>
    <t>552-44-5977</t>
  </si>
  <si>
    <t>267-62-7380</t>
  </si>
  <si>
    <t>430-53-4718</t>
  </si>
  <si>
    <t>745-74-0715</t>
  </si>
  <si>
    <t>690-01-6631</t>
  </si>
  <si>
    <t>233-67-5758</t>
  </si>
  <si>
    <t>727-02-1313</t>
  </si>
  <si>
    <t>347-56-2442</t>
  </si>
  <si>
    <t>Total</t>
  </si>
  <si>
    <t>COUNT INVOICE</t>
  </si>
  <si>
    <t>AVERAGE SALE</t>
  </si>
  <si>
    <t>TOTAL SALE</t>
  </si>
  <si>
    <t>SUM QUANTITY</t>
  </si>
  <si>
    <t>Grand Total</t>
  </si>
  <si>
    <t>Sum of Total</t>
  </si>
  <si>
    <t>branch</t>
  </si>
  <si>
    <t>product</t>
  </si>
  <si>
    <t>customer</t>
  </si>
  <si>
    <t>pivot table</t>
  </si>
  <si>
    <t xml:space="preserve">KPI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</si>
</sst>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33" borderId="0" xfId="0" applyFill="1"/>
    <xf numFmtId="0" fontId="21" fillId="0" borderId="0" xfId="0" applyFont="1" applyAlignment="1">
      <alignment horizontal="center"/>
    </xf>
    <xf numFmtId="0" fontId="20" fillId="0" borderId="0" xfId="0" applyFont="1" applyAlignment="1">
      <alignment horizontal="center"/>
    </xf>
    <xf numFmtId="0" fontId="19"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[supermarket_sales_dashboard.xlsx]pivot_table_analysis!PivotTable5</c:name>
    <c:fmtId val="17"/>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sz="900" b="0">
                <a:solidFill>
                  <a:schemeClr val="tx1"/>
                </a:solidFill>
              </a:rPr>
              <a:t>Sales</a:t>
            </a:r>
            <a:r>
              <a:rPr lang="en-US" sz="900" b="0" baseline="0">
                <a:solidFill>
                  <a:schemeClr val="tx1"/>
                </a:solidFill>
              </a:rPr>
              <a:t> by product line</a:t>
            </a:r>
            <a:endParaRPr lang="en-US" sz="900" b="0">
              <a:solidFill>
                <a:schemeClr val="tx1"/>
              </a:solidFill>
            </a:endParaRPr>
          </a:p>
        </c:rich>
      </c:tx>
      <c:overlay val="0"/>
      <c:spPr>
        <a:solidFill>
          <a:schemeClr val="bg1"/>
        </a:solidFill>
        <a:ln>
          <a:solidFill>
            <a:schemeClr val="bg1"/>
          </a:solid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37136489265166"/>
          <c:y val="0.15755835098303489"/>
          <c:w val="0.88333613638101061"/>
          <c:h val="0.63916462833412968"/>
        </c:manualLayout>
      </c:layout>
      <c:barChart>
        <c:barDir val="bar"/>
        <c:grouping val="clustered"/>
        <c:varyColors val="0"/>
        <c:ser>
          <c:idx val="0"/>
          <c:order val="0"/>
          <c:tx>
            <c:strRef>
              <c:f>pivot_table_analysis!$B$3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pivot_table_analysis!$A$4:$A$10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pivot_table_analysis!$B$4:$B$10</c:f>
              <c:numCache>
                <c:formatCode>General</c:formatCode>
                <c:ptCount val="6"/>
                <c:pt idx="0">
                  <c:v>54337.531499999975</c:v>
                </c:pt>
                <c:pt idx="1">
                  <c:v>54305.894999999997</c:v>
                </c:pt>
                <c:pt idx="2">
                  <c:v>56144.843999999997</c:v>
                </c:pt>
                <c:pt idx="3">
                  <c:v>49193.739000000001</c:v>
                </c:pt>
                <c:pt idx="4">
                  <c:v>53861.912999999993</c:v>
                </c:pt>
                <c:pt idx="5">
                  <c:v>55122.826500000017</c:v>
                </c:pt>
              </c:numCache>
            </c:numRef>
          </c:val>
          <c:extLst>
            <c:ext xmlns:c16="http://schemas.microsoft.com/office/drawing/2014/chart" uri="{C3380CC4-5D6E-409C-BE32-E72D297353CC}">
              <c16:uniqueId val="{00000000-1EAD-45F4-9BEF-1A0D72250042}"/>
            </c:ext>
          </c:extLst>
        </c:ser>
        <c:dLbls>
          <c:showLegendKey val="0"/>
          <c:showVal val="0"/>
          <c:showCatName val="0"/>
          <c:showSerName val="0"/>
          <c:showPercent val="0"/>
          <c:showBubbleSize val="0"/>
        </c:dLbls>
        <c:gapWidth val="326"/>
        <c:overlap val="-58"/>
        <c:axId val="739028176"/>
        <c:axId val="739031088"/>
      </c:barChart>
      <c:catAx>
        <c:axId val="73902817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9031088"/>
        <c:crosses val="autoZero"/>
        <c:auto val="1"/>
        <c:lblAlgn val="ctr"/>
        <c:lblOffset val="100"/>
        <c:noMultiLvlLbl val="0"/>
      </c:catAx>
      <c:valAx>
        <c:axId val="73903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9028176"/>
        <c:crosses val="autoZero"/>
        <c:crossBetween val="between"/>
      </c:valAx>
      <c:spPr>
        <a:noFill/>
        <a:ln w="0">
          <a:solidFill>
            <a:schemeClr val="bg1">
              <a:alpha val="96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alpha val="4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[supermarket_sales_dashboard.xlsx]pivot_table_analysis!PivotTable6</c:name>
    <c:fmtId val="7"/>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sz="900" b="0">
                <a:solidFill>
                  <a:schemeClr val="tx1"/>
                </a:solidFill>
              </a:rPr>
              <a:t>Sales</a:t>
            </a:r>
            <a:r>
              <a:rPr lang="en-US" sz="900">
                <a:solidFill>
                  <a:schemeClr val="tx1"/>
                </a:solidFill>
              </a:rPr>
              <a:t> </a:t>
            </a:r>
            <a:r>
              <a:rPr lang="en-US" sz="900" b="0">
                <a:solidFill>
                  <a:schemeClr val="tx1"/>
                </a:solidFill>
              </a:rPr>
              <a:t>by</a:t>
            </a:r>
            <a:r>
              <a:rPr lang="en-US" sz="900">
                <a:solidFill>
                  <a:schemeClr val="tx1"/>
                </a:solidFill>
              </a:rPr>
              <a:t> </a:t>
            </a:r>
            <a:r>
              <a:rPr lang="en-US" sz="900" b="0">
                <a:solidFill>
                  <a:schemeClr val="tx1"/>
                </a:solidFill>
              </a:rPr>
              <a:t>City</a:t>
            </a:r>
          </a:p>
        </c:rich>
      </c:tx>
      <c:layout>
        <c:manualLayout>
          <c:xMode val="edge"/>
          <c:yMode val="edge"/>
          <c:x val="0.26830952159511223"/>
          <c:y val="0"/>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524626674070491"/>
          <c:w val="0.72637693936906533"/>
          <c:h val="0.68736274562487687"/>
        </c:manualLayout>
      </c:layout>
      <c:barChart>
        <c:barDir val="col"/>
        <c:grouping val="clustered"/>
        <c:varyColors val="0"/>
        <c:ser>
          <c:idx val="0"/>
          <c:order val="0"/>
          <c:tx>
            <c:strRef>
              <c:f>pivot_table_analysis!$E$3</c:f>
              <c:strCache>
                <c:ptCount val="1"/>
                <c:pt idx="0">
                  <c:v>Total</c:v>
                </c:pt>
              </c:strCache>
            </c:strRef>
          </c:tx>
          <c:spPr>
            <a:solidFill>
              <a:schemeClr val="accent1"/>
            </a:solidFill>
            <a:ln>
              <a:noFill/>
            </a:ln>
            <a:effectLst/>
          </c:spPr>
          <c:invertIfNegative val="0"/>
          <c:cat>
            <c:strRef>
              <c:f>pivot_table_analysis!$D$4:$D$7</c:f>
              <c:strCache>
                <c:ptCount val="3"/>
                <c:pt idx="0">
                  <c:v>Mandalay</c:v>
                </c:pt>
                <c:pt idx="1">
                  <c:v>Naypyitaw</c:v>
                </c:pt>
                <c:pt idx="2">
                  <c:v>Yangon</c:v>
                </c:pt>
              </c:strCache>
            </c:strRef>
          </c:cat>
          <c:val>
            <c:numRef>
              <c:f>pivot_table_analysis!$E$4:$E$7</c:f>
              <c:numCache>
                <c:formatCode>General</c:formatCode>
                <c:ptCount val="3"/>
                <c:pt idx="0">
                  <c:v>106197.67200000005</c:v>
                </c:pt>
                <c:pt idx="1">
                  <c:v>110568.70650000004</c:v>
                </c:pt>
                <c:pt idx="2">
                  <c:v>106200.37050000005</c:v>
                </c:pt>
              </c:numCache>
            </c:numRef>
          </c:val>
          <c:extLst>
            <c:ext xmlns:c16="http://schemas.microsoft.com/office/drawing/2014/chart" uri="{C3380CC4-5D6E-409C-BE32-E72D297353CC}">
              <c16:uniqueId val="{00000000-E0A6-45CA-B55C-314AA75A500A}"/>
            </c:ext>
          </c:extLst>
        </c:ser>
        <c:dLbls>
          <c:showLegendKey val="0"/>
          <c:showVal val="0"/>
          <c:showCatName val="0"/>
          <c:showSerName val="0"/>
          <c:showPercent val="0"/>
          <c:showBubbleSize val="0"/>
        </c:dLbls>
        <c:gapWidth val="267"/>
        <c:overlap val="-43"/>
        <c:axId val="1380877008"/>
        <c:axId val="1380874512"/>
      </c:barChart>
      <c:catAx>
        <c:axId val="13808770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1380874512"/>
        <c:crosses val="autoZero"/>
        <c:auto val="1"/>
        <c:lblAlgn val="ctr"/>
        <c:lblOffset val="100"/>
        <c:noMultiLvlLbl val="0"/>
      </c:catAx>
      <c:valAx>
        <c:axId val="138087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087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alpha val="5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[supermarket_sales_dashboard.xlsx]pivot_table_analysis!PivotTable8</c:name>
    <c:fmtId val="5"/>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sz="900">
                <a:solidFill>
                  <a:schemeClr val="tx1"/>
                </a:solidFill>
              </a:rPr>
              <a:t>Sales by Branch</a:t>
            </a:r>
          </a:p>
        </c:rich>
      </c:tx>
      <c:layout>
        <c:manualLayout>
          <c:xMode val="edge"/>
          <c:yMode val="edge"/>
          <c:x val="0.34364691398509867"/>
          <c:y val="3.5299120672035965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1719732001660591"/>
          <c:w val="0.87164129483814534"/>
          <c:h val="0.6441492948485672"/>
        </c:manualLayout>
      </c:layout>
      <c:barChart>
        <c:barDir val="col"/>
        <c:grouping val="clustered"/>
        <c:varyColors val="0"/>
        <c:ser>
          <c:idx val="0"/>
          <c:order val="0"/>
          <c:tx>
            <c:strRef>
              <c:f>pivot_table_analysis!$H$3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pivot_table_analysis!$G$4:$G$7</c:f>
              <c:strCache>
                <c:ptCount val="3"/>
                <c:pt idx="0">
                  <c:v>A</c:v>
                </c:pt>
                <c:pt idx="1">
                  <c:v>B</c:v>
                </c:pt>
                <c:pt idx="2">
                  <c:v>C</c:v>
                </c:pt>
              </c:strCache>
            </c:strRef>
          </c:cat>
          <c:val>
            <c:numRef>
              <c:f>pivot_table_analysis!$H$4:$H$7</c:f>
              <c:numCache>
                <c:formatCode>General</c:formatCode>
                <c:ptCount val="3"/>
                <c:pt idx="0">
                  <c:v>106200.37050000005</c:v>
                </c:pt>
                <c:pt idx="1">
                  <c:v>106197.67200000005</c:v>
                </c:pt>
                <c:pt idx="2">
                  <c:v>110568.70650000004</c:v>
                </c:pt>
              </c:numCache>
            </c:numRef>
          </c:val>
          <c:extLst>
            <c:ext xmlns:c16="http://schemas.microsoft.com/office/drawing/2014/chart" uri="{C3380CC4-5D6E-409C-BE32-E72D297353CC}">
              <c16:uniqueId val="{00000000-78EF-4629-B895-B6C999B07A75}"/>
            </c:ext>
          </c:extLst>
        </c:ser>
        <c:dLbls>
          <c:showLegendKey val="0"/>
          <c:showVal val="0"/>
          <c:showCatName val="0"/>
          <c:showSerName val="0"/>
          <c:showPercent val="0"/>
          <c:showBubbleSize val="0"/>
        </c:dLbls>
        <c:gapWidth val="100"/>
        <c:overlap val="-24"/>
        <c:axId val="1717538000"/>
        <c:axId val="1717531760"/>
      </c:barChart>
      <c:catAx>
        <c:axId val="17175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7531760"/>
        <c:crosses val="autoZero"/>
        <c:auto val="1"/>
        <c:lblAlgn val="ctr"/>
        <c:lblOffset val="100"/>
        <c:noMultiLvlLbl val="0"/>
      </c:catAx>
      <c:valAx>
        <c:axId val="1717531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753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alpha val="4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[supermarket_sales_dashboard.xlsx]pivot_table_analysis!PivotTable10</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900" b="0">
                <a:solidFill>
                  <a:schemeClr val="tx1"/>
                </a:solidFill>
              </a:rPr>
              <a:t>Sales By Customer Type</a:t>
            </a:r>
          </a:p>
        </c:rich>
      </c:tx>
      <c:layout>
        <c:manualLayout>
          <c:xMode val="edge"/>
          <c:yMode val="edge"/>
          <c:x val="0.26014305660797271"/>
          <c:y val="2.5606817731209066E-2"/>
        </c:manualLayout>
      </c:layout>
      <c:overlay val="0"/>
      <c:spPr>
        <a:solidFill>
          <a:schemeClr val="bg1"/>
        </a:solidFill>
        <a:ln>
          <a:solidFill>
            <a:schemeClr val="bg1"/>
          </a:solid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4492563429573"/>
          <c:y val="0.15364090638725439"/>
          <c:w val="0.81598840769903758"/>
          <c:h val="0.69102585213238921"/>
        </c:manualLayout>
      </c:layout>
      <c:barChart>
        <c:barDir val="bar"/>
        <c:grouping val="stacked"/>
        <c:varyColors val="0"/>
        <c:ser>
          <c:idx val="0"/>
          <c:order val="0"/>
          <c:tx>
            <c:strRef>
              <c:f>pivot_table_analysis!$H$10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pivot_table_analysis!$G$11:$G$13</c:f>
              <c:strCache>
                <c:ptCount val="2"/>
                <c:pt idx="0">
                  <c:v>Member</c:v>
                </c:pt>
                <c:pt idx="1">
                  <c:v>Normal</c:v>
                </c:pt>
              </c:strCache>
            </c:strRef>
          </c:cat>
          <c:val>
            <c:numRef>
              <c:f>pivot_table_analysis!$H$11:$H$13</c:f>
              <c:numCache>
                <c:formatCode>General</c:formatCode>
                <c:ptCount val="2"/>
                <c:pt idx="0">
                  <c:v>164223.44399999984</c:v>
                </c:pt>
                <c:pt idx="1">
                  <c:v>158743.30499999996</c:v>
                </c:pt>
              </c:numCache>
            </c:numRef>
          </c:val>
          <c:extLst>
            <c:ext xmlns:c16="http://schemas.microsoft.com/office/drawing/2014/chart" uri="{C3380CC4-5D6E-409C-BE32-E72D297353CC}">
              <c16:uniqueId val="{00000000-FB93-491A-9D88-AB895E270747}"/>
            </c:ext>
          </c:extLst>
        </c:ser>
        <c:dLbls>
          <c:showLegendKey val="0"/>
          <c:showVal val="0"/>
          <c:showCatName val="0"/>
          <c:showSerName val="0"/>
          <c:showPercent val="0"/>
          <c:showBubbleSize val="0"/>
        </c:dLbls>
        <c:gapWidth val="150"/>
        <c:overlap val="100"/>
        <c:axId val="1982393568"/>
        <c:axId val="1982391904"/>
      </c:barChart>
      <c:catAx>
        <c:axId val="1982393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2391904"/>
        <c:crosses val="autoZero"/>
        <c:auto val="1"/>
        <c:lblAlgn val="ctr"/>
        <c:lblOffset val="100"/>
        <c:noMultiLvlLbl val="0"/>
      </c:catAx>
      <c:valAx>
        <c:axId val="1982391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239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alpha val="47000"/>
        </a:schemeClr>
      </a:solidFill>
      <a:round/>
    </a:ln>
    <a:effectLst>
      <a:outerShdw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[supermarket_sales_dashboard.xlsx]pivot_table_analysis!PivotTable9</c:name>
    <c:fmtId val="10"/>
  </c:pivotSource>
  <c:chart>
    <c:title>
      <c:tx>
        <c:rich>
          <a:bodyPr rot="0" spcFirstLastPara="1" vertOverflow="ellipsis" vert="horz" wrap="square" anchor="ctr" anchorCtr="1"/>
          <a:lstStyle/>
          <a:p>
            <a:pPr>
              <a:defRPr sz="900" b="0" i="0" u="none" strike="noStrike" kern="1200" baseline="0">
                <a:solidFill>
                  <a:schemeClr val="dk1">
                    <a:lumMod val="65000"/>
                    <a:lumOff val="35000"/>
                  </a:schemeClr>
                </a:solidFill>
                <a:effectLst>
                  <a:outerShdw sx="1000" sy="1000" algn="ctr" rotWithShape="0">
                    <a:schemeClr val="tx1"/>
                  </a:outerShdw>
                </a:effectLst>
                <a:latin typeface="+mn-lt"/>
                <a:ea typeface="+mn-ea"/>
                <a:cs typeface="+mn-cs"/>
              </a:defRPr>
            </a:pPr>
            <a:r>
              <a:rPr lang="en-US" sz="900" b="0">
                <a:effectLst>
                  <a:outerShdw sx="1000" sy="1000" algn="ctr" rotWithShape="0">
                    <a:schemeClr val="tx1"/>
                  </a:outerShdw>
                </a:effectLst>
              </a:rPr>
              <a:t>Sales By Gender</a:t>
            </a:r>
          </a:p>
        </c:rich>
      </c:tx>
      <c:layout>
        <c:manualLayout>
          <c:xMode val="edge"/>
          <c:yMode val="edge"/>
          <c:x val="0.30665386572757702"/>
          <c:y val="2.5532800847938825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effectLst>
                <a:outerShdw sx="1000" sy="1000" algn="ctr" rotWithShape="0">
                  <a:schemeClr val="tx1"/>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317500" algn="ctr" rotWithShape="0">
              <a:prstClr val="black">
                <a:alpha val="25000"/>
              </a:prstClr>
            </a:outerShdw>
          </a:effectLst>
        </c:spPr>
      </c:pivotFmt>
      <c:pivotFmt>
        <c:idx val="6"/>
        <c:spPr>
          <a:solidFill>
            <a:schemeClr val="accent1">
              <a:shade val="76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5.3170997837201632E-2"/>
          <c:y val="0.15386812942423439"/>
          <c:w val="0.69346014296531489"/>
          <c:h val="0.68434925459153384"/>
        </c:manualLayout>
      </c:layout>
      <c:pieChart>
        <c:varyColors val="1"/>
        <c:ser>
          <c:idx val="0"/>
          <c:order val="0"/>
          <c:tx>
            <c:strRef>
              <c:f>pivot_table_analysis!$E$10</c:f>
              <c:strCache>
                <c:ptCount val="1"/>
                <c:pt idx="0">
                  <c:v>Total</c:v>
                </c:pt>
              </c:strCache>
            </c:strRef>
          </c:tx>
          <c:dPt>
            <c:idx val="0"/>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68-46F0-98BB-AA5267C26953}"/>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068-46F0-98BB-AA5267C269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pivot_table_analysis!$D$11:$D$13</c:f>
              <c:strCache>
                <c:ptCount val="2"/>
                <c:pt idx="0">
                  <c:v>Female</c:v>
                </c:pt>
                <c:pt idx="1">
                  <c:v>Male</c:v>
                </c:pt>
              </c:strCache>
            </c:strRef>
          </c:cat>
          <c:val>
            <c:numRef>
              <c:f>pivot_table_analysis!$E$11:$E$13</c:f>
              <c:numCache>
                <c:formatCode>General</c:formatCode>
                <c:ptCount val="2"/>
                <c:pt idx="0">
                  <c:v>167882.92500000002</c:v>
                </c:pt>
                <c:pt idx="1">
                  <c:v>155083.82400000014</c:v>
                </c:pt>
              </c:numCache>
            </c:numRef>
          </c:val>
          <c:extLst>
            <c:ext xmlns:c16="http://schemas.microsoft.com/office/drawing/2014/chart" uri="{C3380CC4-5D6E-409C-BE32-E72D297353CC}">
              <c16:uniqueId val="{00000004-2068-46F0-98BB-AA5267C2695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033737910731373"/>
          <c:y val="0.78253409262974605"/>
          <c:w val="0.26906969772720257"/>
          <c:h val="0.1708937426657077"/>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alpha val="4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12</xdr:col>
      <xdr:colOff>360994</xdr:colOff>
      <xdr:row>2</xdr:row>
      <xdr:rowOff>35555</xdr:rowOff>
    </xdr:from>
    <xdr:ext cx="4618102" cy="1488444"/>
    <xdr:sp macro="" textlink="">
      <xdr:nvSpPr>
        <xdr:cNvPr id="13" name="TextBox 12">
          <a:extLst>
            <a:ext uri="{FF2B5EF4-FFF2-40B4-BE49-F238E27FC236}">
              <a16:creationId xmlns:a16="http://schemas.microsoft.com/office/drawing/2014/main" id="{518D4E68-90DA-4B9B-99BF-797A038F4E29}"/>
            </a:ext>
          </a:extLst>
        </xdr:cNvPr>
        <xdr:cNvSpPr txBox="1"/>
      </xdr:nvSpPr>
      <xdr:spPr>
        <a:xfrm>
          <a:off x="7626090" y="411336"/>
          <a:ext cx="4618102" cy="1488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600" b="1">
              <a:solidFill>
                <a:schemeClr val="bg1"/>
              </a:solidFill>
            </a:rPr>
            <a:t>SUPERMARKET SALES</a:t>
          </a:r>
          <a:r>
            <a:rPr lang="en-US" sz="3600" b="1" baseline="0">
              <a:solidFill>
                <a:schemeClr val="bg1"/>
              </a:solidFill>
            </a:rPr>
            <a:t> ANALYSIS</a:t>
          </a:r>
          <a:endParaRPr lang="en-US" sz="3600" b="1">
            <a:solidFill>
              <a:schemeClr val="bg1"/>
            </a:solidFill>
          </a:endParaRPr>
        </a:p>
      </xdr:txBody>
    </xdr:sp>
    <xdr:clientData/>
  </xdr:oneCellAnchor>
  <xdr:twoCellAnchor>
    <xdr:from>
      <xdr:col>2</xdr:col>
      <xdr:colOff>412751</xdr:colOff>
      <xdr:row>5</xdr:row>
      <xdr:rowOff>95249</xdr:rowOff>
    </xdr:from>
    <xdr:to>
      <xdr:col>5</xdr:col>
      <xdr:colOff>206375</xdr:colOff>
      <xdr:row>10</xdr:row>
      <xdr:rowOff>15874</xdr:rowOff>
    </xdr:to>
    <xdr:sp macro="" textlink="">
      <xdr:nvSpPr>
        <xdr:cNvPr id="14" name="Rectangle: Rounded Corners 13">
          <a:extLst>
            <a:ext uri="{FF2B5EF4-FFF2-40B4-BE49-F238E27FC236}">
              <a16:creationId xmlns:a16="http://schemas.microsoft.com/office/drawing/2014/main" id="{2C34B86C-C7B1-4CF8-87FE-1E99DB738D69}"/>
            </a:ext>
          </a:extLst>
        </xdr:cNvPr>
        <xdr:cNvSpPr/>
      </xdr:nvSpPr>
      <xdr:spPr>
        <a:xfrm>
          <a:off x="1635126" y="1008062"/>
          <a:ext cx="1627187" cy="833437"/>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400" b="0" cap="none" spc="0">
              <a:ln w="0"/>
              <a:solidFill>
                <a:schemeClr val="tx1"/>
              </a:solidFill>
              <a:effectLst>
                <a:outerShdw blurRad="38100" dist="19050" dir="2700000" algn="tl" rotWithShape="0">
                  <a:schemeClr val="dk1">
                    <a:alpha val="40000"/>
                  </a:schemeClr>
                </a:outerShdw>
              </a:effectLst>
            </a:rPr>
            <a:t>Total</a:t>
          </a:r>
          <a:r>
            <a:rPr lang="en-US" sz="1400" b="0" cap="none" spc="0" baseline="0">
              <a:ln w="0"/>
              <a:solidFill>
                <a:schemeClr val="tx1"/>
              </a:solidFill>
              <a:effectLst>
                <a:outerShdw blurRad="38100" dist="19050" dir="2700000" algn="tl" rotWithShape="0">
                  <a:schemeClr val="dk1">
                    <a:alpha val="40000"/>
                  </a:schemeClr>
                </a:outerShdw>
              </a:effectLst>
            </a:rPr>
            <a:t> sale</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257175</xdr:colOff>
      <xdr:row>5</xdr:row>
      <xdr:rowOff>98423</xdr:rowOff>
    </xdr:from>
    <xdr:to>
      <xdr:col>8</xdr:col>
      <xdr:colOff>198438</xdr:colOff>
      <xdr:row>10</xdr:row>
      <xdr:rowOff>19048</xdr:rowOff>
    </xdr:to>
    <xdr:sp macro="" textlink="">
      <xdr:nvSpPr>
        <xdr:cNvPr id="16" name="Rectangle: Rounded Corners 15">
          <a:extLst>
            <a:ext uri="{FF2B5EF4-FFF2-40B4-BE49-F238E27FC236}">
              <a16:creationId xmlns:a16="http://schemas.microsoft.com/office/drawing/2014/main" id="{B67C487C-84C6-406E-8BE4-BFC089AF0403}"/>
            </a:ext>
          </a:extLst>
        </xdr:cNvPr>
        <xdr:cNvSpPr/>
      </xdr:nvSpPr>
      <xdr:spPr>
        <a:xfrm>
          <a:off x="3284298" y="1037875"/>
          <a:ext cx="1757537" cy="860077"/>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400" b="0" cap="none" spc="0">
              <a:ln w="0"/>
              <a:solidFill>
                <a:schemeClr val="tx1"/>
              </a:solidFill>
              <a:effectLst>
                <a:outerShdw blurRad="38100" dist="19050" dir="2700000" algn="tl" rotWithShape="0">
                  <a:schemeClr val="dk1">
                    <a:alpha val="40000"/>
                  </a:schemeClr>
                </a:outerShdw>
              </a:effectLst>
            </a:rPr>
            <a:t>Total</a:t>
          </a:r>
          <a:r>
            <a:rPr lang="en-US" sz="1400" b="0" cap="none" spc="0" baseline="0">
              <a:ln w="0"/>
              <a:solidFill>
                <a:schemeClr val="tx1"/>
              </a:solidFill>
              <a:effectLst>
                <a:outerShdw blurRad="38100" dist="19050" dir="2700000" algn="tl" rotWithShape="0">
                  <a:schemeClr val="dk1">
                    <a:alpha val="40000"/>
                  </a:schemeClr>
                </a:outerShdw>
              </a:effectLst>
            </a:rPr>
            <a:t> Transaction</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219075</xdr:colOff>
      <xdr:row>5</xdr:row>
      <xdr:rowOff>92075</xdr:rowOff>
    </xdr:from>
    <xdr:to>
      <xdr:col>11</xdr:col>
      <xdr:colOff>87312</xdr:colOff>
      <xdr:row>10</xdr:row>
      <xdr:rowOff>12700</xdr:rowOff>
    </xdr:to>
    <xdr:sp macro="" textlink="">
      <xdr:nvSpPr>
        <xdr:cNvPr id="17" name="Rectangle: Rounded Corners 16">
          <a:extLst>
            <a:ext uri="{FF2B5EF4-FFF2-40B4-BE49-F238E27FC236}">
              <a16:creationId xmlns:a16="http://schemas.microsoft.com/office/drawing/2014/main" id="{ED934CBA-9BBB-4100-8441-206BBEA77634}"/>
            </a:ext>
          </a:extLst>
        </xdr:cNvPr>
        <xdr:cNvSpPr/>
      </xdr:nvSpPr>
      <xdr:spPr>
        <a:xfrm>
          <a:off x="5062472" y="1031527"/>
          <a:ext cx="1684511" cy="860077"/>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400" b="0" cap="none" spc="0">
              <a:ln w="0"/>
              <a:solidFill>
                <a:schemeClr val="tx1"/>
              </a:solidFill>
              <a:effectLst>
                <a:outerShdw blurRad="38100" dist="19050" dir="2700000" algn="tl" rotWithShape="0">
                  <a:schemeClr val="dk1">
                    <a:alpha val="40000"/>
                  </a:schemeClr>
                </a:outerShdw>
              </a:effectLst>
            </a:rPr>
            <a:t>Total</a:t>
          </a:r>
          <a:r>
            <a:rPr lang="en-US" sz="1400" b="0" cap="none" spc="0" baseline="0">
              <a:ln w="0"/>
              <a:solidFill>
                <a:schemeClr val="tx1"/>
              </a:solidFill>
              <a:effectLst>
                <a:outerShdw blurRad="38100" dist="19050" dir="2700000" algn="tl" rotWithShape="0">
                  <a:schemeClr val="dk1">
                    <a:alpha val="40000"/>
                  </a:schemeClr>
                </a:outerShdw>
              </a:effectLst>
            </a:rPr>
            <a:t> Quantity Sold</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111126</xdr:colOff>
      <xdr:row>5</xdr:row>
      <xdr:rowOff>93661</xdr:rowOff>
    </xdr:from>
    <xdr:to>
      <xdr:col>13</xdr:col>
      <xdr:colOff>577851</xdr:colOff>
      <xdr:row>10</xdr:row>
      <xdr:rowOff>14286</xdr:rowOff>
    </xdr:to>
    <xdr:sp macro="" textlink="">
      <xdr:nvSpPr>
        <xdr:cNvPr id="18" name="Rectangle: Rounded Corners 17">
          <a:extLst>
            <a:ext uri="{FF2B5EF4-FFF2-40B4-BE49-F238E27FC236}">
              <a16:creationId xmlns:a16="http://schemas.microsoft.com/office/drawing/2014/main" id="{CF9145BC-C765-48C2-8FCB-98414DD11D6C}"/>
            </a:ext>
          </a:extLst>
        </xdr:cNvPr>
        <xdr:cNvSpPr/>
      </xdr:nvSpPr>
      <xdr:spPr>
        <a:xfrm>
          <a:off x="6770797" y="1033113"/>
          <a:ext cx="1677575" cy="860077"/>
        </a:xfrm>
        <a:prstGeom prst="roundRect">
          <a:avLst/>
        </a:prstGeom>
        <a:gradFill>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gradFill>
        <a:effectLst>
          <a:outerShdw blurRad="57150" dir="5400000" algn="ctr" rotWithShape="0">
            <a:srgbClr val="000000">
              <a:alpha val="63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400" b="0" cap="none" spc="0" baseline="0">
              <a:ln w="0"/>
              <a:solidFill>
                <a:schemeClr val="tx1"/>
              </a:solidFill>
              <a:effectLst>
                <a:outerShdw blurRad="38100" dist="19050" dir="2700000" algn="tl" rotWithShape="0">
                  <a:schemeClr val="dk1">
                    <a:alpha val="40000"/>
                  </a:schemeClr>
                </a:outerShdw>
              </a:effectLst>
            </a:rPr>
            <a:t>Average sale</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12</xdr:col>
      <xdr:colOff>206375</xdr:colOff>
      <xdr:row>10</xdr:row>
      <xdr:rowOff>119062</xdr:rowOff>
    </xdr:from>
    <xdr:to>
      <xdr:col>15</xdr:col>
      <xdr:colOff>190500</xdr:colOff>
      <xdr:row>17</xdr:row>
      <xdr:rowOff>127000</xdr:rowOff>
    </xdr:to>
    <mc:AlternateContent xmlns:mc="http://schemas.openxmlformats.org/markup-compatibility/2006">
      <mc:Choice xmlns:a14="http://schemas.microsoft.com/office/drawing/2010/main" Requires="a14">
        <xdr:graphicFrame macro="">
          <xdr:nvGraphicFramePr>
            <xdr:cNvPr id="19" name="City 1">
              <a:extLst>
                <a:ext uri="{FF2B5EF4-FFF2-40B4-BE49-F238E27FC236}">
                  <a16:creationId xmlns:a16="http://schemas.microsoft.com/office/drawing/2014/main" id="{CA8131AB-9649-4695-B198-C6BB0489517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521575" y="1947862"/>
              <a:ext cx="1812925" cy="1288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444499</xdr:colOff>
      <xdr:row>10</xdr:row>
      <xdr:rowOff>111127</xdr:rowOff>
    </xdr:from>
    <xdr:to>
      <xdr:col>18</xdr:col>
      <xdr:colOff>174624</xdr:colOff>
      <xdr:row>15</xdr:row>
      <xdr:rowOff>166687</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FFB5FE45-2D29-490B-BA70-719DE54DA6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588499" y="1939927"/>
              <a:ext cx="1558925" cy="969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539752</xdr:colOff>
      <xdr:row>17</xdr:row>
      <xdr:rowOff>127000</xdr:rowOff>
    </xdr:from>
    <xdr:to>
      <xdr:col>18</xdr:col>
      <xdr:colOff>261939</xdr:colOff>
      <xdr:row>29</xdr:row>
      <xdr:rowOff>95250</xdr:rowOff>
    </xdr:to>
    <mc:AlternateContent xmlns:mc="http://schemas.openxmlformats.org/markup-compatibility/2006">
      <mc:Choice xmlns:a14="http://schemas.microsoft.com/office/drawing/2010/main" Requires="a14">
        <xdr:graphicFrame macro="">
          <xdr:nvGraphicFramePr>
            <xdr:cNvPr id="21" name="Product line 1">
              <a:extLst>
                <a:ext uri="{FF2B5EF4-FFF2-40B4-BE49-F238E27FC236}">
                  <a16:creationId xmlns:a16="http://schemas.microsoft.com/office/drawing/2014/main" id="{EF2CC429-4848-40E7-9707-583203E940D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9683752" y="3235960"/>
              <a:ext cx="1550987" cy="2162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444501</xdr:colOff>
      <xdr:row>10</xdr:row>
      <xdr:rowOff>79376</xdr:rowOff>
    </xdr:from>
    <xdr:to>
      <xdr:col>8</xdr:col>
      <xdr:colOff>541020</xdr:colOff>
      <xdr:row>19</xdr:row>
      <xdr:rowOff>119061</xdr:rowOff>
    </xdr:to>
    <xdr:graphicFrame macro="">
      <xdr:nvGraphicFramePr>
        <xdr:cNvPr id="22" name="Chart 21">
          <a:extLst>
            <a:ext uri="{FF2B5EF4-FFF2-40B4-BE49-F238E27FC236}">
              <a16:creationId xmlns:a16="http://schemas.microsoft.com/office/drawing/2014/main" id="{FC4AFCF8-C620-4CCE-8FBC-F6471B6F5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601029</xdr:colOff>
      <xdr:row>10</xdr:row>
      <xdr:rowOff>102873</xdr:rowOff>
    </xdr:from>
    <xdr:to>
      <xdr:col>12</xdr:col>
      <xdr:colOff>113157</xdr:colOff>
      <xdr:row>19</xdr:row>
      <xdr:rowOff>134620</xdr:rowOff>
    </xdr:to>
    <xdr:graphicFrame macro="">
      <xdr:nvGraphicFramePr>
        <xdr:cNvPr id="23" name="Chart 22">
          <a:extLst>
            <a:ext uri="{FF2B5EF4-FFF2-40B4-BE49-F238E27FC236}">
              <a16:creationId xmlns:a16="http://schemas.microsoft.com/office/drawing/2014/main" id="{B815A25E-97EA-493A-8B70-E65F798DC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476250</xdr:colOff>
      <xdr:row>20</xdr:row>
      <xdr:rowOff>39689</xdr:rowOff>
    </xdr:from>
    <xdr:to>
      <xdr:col>12</xdr:col>
      <xdr:colOff>95251</xdr:colOff>
      <xdr:row>29</xdr:row>
      <xdr:rowOff>63502</xdr:rowOff>
    </xdr:to>
    <xdr:graphicFrame macro="">
      <xdr:nvGraphicFramePr>
        <xdr:cNvPr id="25" name="Chart 24">
          <a:extLst>
            <a:ext uri="{FF2B5EF4-FFF2-40B4-BE49-F238E27FC236}">
              <a16:creationId xmlns:a16="http://schemas.microsoft.com/office/drawing/2014/main" id="{4361BAFD-BBC9-4CE6-86A8-4A5EEE54D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436566</xdr:colOff>
      <xdr:row>20</xdr:row>
      <xdr:rowOff>39688</xdr:rowOff>
    </xdr:from>
    <xdr:to>
      <xdr:col>7</xdr:col>
      <xdr:colOff>400132</xdr:colOff>
      <xdr:row>29</xdr:row>
      <xdr:rowOff>71437</xdr:rowOff>
    </xdr:to>
    <xdr:graphicFrame macro="">
      <xdr:nvGraphicFramePr>
        <xdr:cNvPr id="26" name="Chart 25">
          <a:extLst>
            <a:ext uri="{FF2B5EF4-FFF2-40B4-BE49-F238E27FC236}">
              <a16:creationId xmlns:a16="http://schemas.microsoft.com/office/drawing/2014/main" id="{BCCBBDF2-D96A-46EA-BC74-657DCF530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214314</xdr:colOff>
      <xdr:row>18</xdr:row>
      <xdr:rowOff>60960</xdr:rowOff>
    </xdr:from>
    <xdr:to>
      <xdr:col>15</xdr:col>
      <xdr:colOff>388937</xdr:colOff>
      <xdr:row>29</xdr:row>
      <xdr:rowOff>79375</xdr:rowOff>
    </xdr:to>
    <xdr:graphicFrame macro="">
      <xdr:nvGraphicFramePr>
        <xdr:cNvPr id="27" name="Chart 26">
          <a:extLst>
            <a:ext uri="{FF2B5EF4-FFF2-40B4-BE49-F238E27FC236}">
              <a16:creationId xmlns:a16="http://schemas.microsoft.com/office/drawing/2014/main" id="{8055CC3C-E292-40AF-8DEF-99B46F6AA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127000</xdr:colOff>
      <xdr:row>7</xdr:row>
      <xdr:rowOff>79374</xdr:rowOff>
    </xdr:from>
    <xdr:ext cx="1079500" cy="311496"/>
    <xdr:sp macro="" textlink="">
      <xdr:nvSpPr>
        <xdr:cNvPr id="28" name="TextBox 27">
          <a:extLst>
            <a:ext uri="{FF2B5EF4-FFF2-40B4-BE49-F238E27FC236}">
              <a16:creationId xmlns:a16="http://schemas.microsoft.com/office/drawing/2014/main" id="{D8A3327B-0B01-4D3F-B7FC-E6B163E75593}"/>
            </a:ext>
          </a:extLst>
        </xdr:cNvPr>
        <xdr:cNvSpPr txBox="1"/>
      </xdr:nvSpPr>
      <xdr:spPr>
        <a:xfrm>
          <a:off x="1943274" y="1394607"/>
          <a:ext cx="10795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u="none" strike="noStrike">
              <a:solidFill>
                <a:schemeClr val="tx1"/>
              </a:solidFill>
              <a:effectLst/>
              <a:latin typeface="+mn-lt"/>
              <a:ea typeface="+mn-ea"/>
              <a:cs typeface="+mn-cs"/>
            </a:rPr>
            <a:t>  322,966</a:t>
          </a:r>
          <a:endParaRPr lang="en-US" sz="1600"/>
        </a:p>
      </xdr:txBody>
    </xdr:sp>
    <xdr:clientData/>
  </xdr:oneCellAnchor>
  <xdr:oneCellAnchor>
    <xdr:from>
      <xdr:col>5</xdr:col>
      <xdr:colOff>539750</xdr:colOff>
      <xdr:row>7</xdr:row>
      <xdr:rowOff>79375</xdr:rowOff>
    </xdr:from>
    <xdr:ext cx="1222375" cy="325437"/>
    <xdr:sp macro="" textlink="">
      <xdr:nvSpPr>
        <xdr:cNvPr id="29" name="TextBox 28">
          <a:extLst>
            <a:ext uri="{FF2B5EF4-FFF2-40B4-BE49-F238E27FC236}">
              <a16:creationId xmlns:a16="http://schemas.microsoft.com/office/drawing/2014/main" id="{993346DB-8D6E-4E0D-A3A4-A7875656DDBC}"/>
            </a:ext>
          </a:extLst>
        </xdr:cNvPr>
        <xdr:cNvSpPr txBox="1"/>
      </xdr:nvSpPr>
      <xdr:spPr>
        <a:xfrm>
          <a:off x="3566873" y="1394608"/>
          <a:ext cx="1222375" cy="3254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chemeClr val="tx1"/>
              </a:solidFill>
              <a:effectLst/>
              <a:latin typeface="+mn-lt"/>
              <a:ea typeface="+mn-ea"/>
              <a:cs typeface="+mn-cs"/>
            </a:rPr>
            <a:t>1,001</a:t>
          </a:r>
          <a:r>
            <a:rPr lang="en-US" sz="1600"/>
            <a:t> </a:t>
          </a:r>
        </a:p>
      </xdr:txBody>
    </xdr:sp>
    <xdr:clientData/>
  </xdr:oneCellAnchor>
  <xdr:oneCellAnchor>
    <xdr:from>
      <xdr:col>9</xdr:col>
      <xdr:colOff>63500</xdr:colOff>
      <xdr:row>7</xdr:row>
      <xdr:rowOff>95250</xdr:rowOff>
    </xdr:from>
    <xdr:ext cx="777875" cy="311496"/>
    <xdr:sp macro="" textlink="">
      <xdr:nvSpPr>
        <xdr:cNvPr id="30" name="TextBox 29">
          <a:extLst>
            <a:ext uri="{FF2B5EF4-FFF2-40B4-BE49-F238E27FC236}">
              <a16:creationId xmlns:a16="http://schemas.microsoft.com/office/drawing/2014/main" id="{D4B92FDB-9EC2-49AC-94E8-C6A4369FD7BE}"/>
            </a:ext>
          </a:extLst>
        </xdr:cNvPr>
        <xdr:cNvSpPr txBox="1"/>
      </xdr:nvSpPr>
      <xdr:spPr>
        <a:xfrm>
          <a:off x="5512322" y="1410483"/>
          <a:ext cx="7778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i="0" u="none" strike="noStrike">
              <a:solidFill>
                <a:schemeClr val="tx1"/>
              </a:solidFill>
              <a:effectLst/>
              <a:latin typeface="+mn-lt"/>
              <a:ea typeface="+mn-ea"/>
              <a:cs typeface="+mn-cs"/>
            </a:rPr>
            <a:t>5,510</a:t>
          </a:r>
          <a:r>
            <a:rPr lang="en-US" sz="1400"/>
            <a:t> </a:t>
          </a:r>
        </a:p>
      </xdr:txBody>
    </xdr:sp>
    <xdr:clientData/>
  </xdr:oneCellAnchor>
  <xdr:oneCellAnchor>
    <xdr:from>
      <xdr:col>11</xdr:col>
      <xdr:colOff>531812</xdr:colOff>
      <xdr:row>7</xdr:row>
      <xdr:rowOff>87312</xdr:rowOff>
    </xdr:from>
    <xdr:ext cx="728148" cy="311496"/>
    <xdr:sp macro="" textlink="">
      <xdr:nvSpPr>
        <xdr:cNvPr id="31" name="TextBox 30">
          <a:extLst>
            <a:ext uri="{FF2B5EF4-FFF2-40B4-BE49-F238E27FC236}">
              <a16:creationId xmlns:a16="http://schemas.microsoft.com/office/drawing/2014/main" id="{1B8F8396-9759-4E84-84C5-3401237BF6D0}"/>
            </a:ext>
          </a:extLst>
        </xdr:cNvPr>
        <xdr:cNvSpPr txBox="1"/>
      </xdr:nvSpPr>
      <xdr:spPr>
        <a:xfrm>
          <a:off x="7191483" y="1402545"/>
          <a:ext cx="72814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u="none" strike="noStrike">
              <a:solidFill>
                <a:schemeClr val="tx1"/>
              </a:solidFill>
              <a:effectLst/>
              <a:latin typeface="+mn-lt"/>
              <a:ea typeface="+mn-ea"/>
              <a:cs typeface="+mn-cs"/>
            </a:rPr>
            <a:t>322.64</a:t>
          </a:r>
          <a:r>
            <a:rPr lang="en-US" sz="1400" b="1"/>
            <a:t> </a:t>
          </a:r>
        </a:p>
      </xdr:txBody>
    </xdr:sp>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upermarket_sales_analysi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93.074219328701" createdVersion="7" refreshedVersion="7" minRefreshableVersion="3" recordCount="1000">
  <cacheSource type="worksheet">
    <worksheetSource ref="A1:J1001" sheet="supermarket_sales_analysis" r:id="rId2"/>
  </cacheSource>
  <cacheFields count="10">
    <cacheField name="Gender" numFmtId="0">
      <sharedItems count="2">
        <s v="Female"/>
        <s v="Male"/>
      </sharedItems>
    </cacheField>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Product line" numFmtId="0">
      <sharedItems count="6">
        <s v="Health and beauty"/>
        <s v="Electronic accessories"/>
        <s v="Home and lifestyle"/>
        <s v="Food and beverages"/>
        <s v="Fashion accessories"/>
        <s v="Sports and travel"/>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6"/>
        <n v="10"/>
        <n v="2"/>
        <n v="3"/>
        <n v="4"/>
        <n v="8"/>
        <n v="1"/>
        <n v="9"/>
      </sharedItems>
    </cacheField>
    <cacheField name="Tax 5%" numFmtId="0">
      <sharedItems containsSemiMixedTypes="0" containsString="0" containsNumber="1" minValue="0.50850000000000006" maxValue="49.650000000000006"/>
    </cacheField>
    <cacheField name="Total" numFmtId="0">
      <sharedItems containsSemiMixedTypes="0" containsString="0" containsNumber="1" minValue="10.6785" maxValue="1042.6500000000001"/>
    </cacheField>
  </cacheFields>
  <extLst>
    <ext xmlns:x14="http://schemas.microsoft.com/office/spreadsheetml/2009/9/main" uri="{725AE2AE-9491-48be-B2B4-4EB974FC3084}">
      <x14:pivotCacheDefinition pivotCacheId="1874836731"/>
    </ext>
  </extLst>
</pivotCacheDefinition>
</file>

<file path=xl/pivotCache/pivotCacheRecords1.xml><?xml version="1.0" encoding="utf-8"?>
<pivotCacheRecords xmlns="http://schemas.openxmlformats.org/spreadsheetml/2006/main" xmlns:r="http://schemas.openxmlformats.org/officeDocument/2006/relationships" count="1000">
  <r>
    <x v="0"/>
    <s v="750-67-8428"/>
    <x v="0"/>
    <x v="0"/>
    <x v="0"/>
    <x v="0"/>
    <n v="74.69"/>
    <x v="0"/>
    <n v="26.141499999999997"/>
    <n v="548.97149999999988"/>
  </r>
  <r>
    <x v="0"/>
    <s v="226-31-3081"/>
    <x v="1"/>
    <x v="1"/>
    <x v="1"/>
    <x v="1"/>
    <n v="15.28"/>
    <x v="1"/>
    <n v="3.82"/>
    <n v="80.219999999999985"/>
  </r>
  <r>
    <x v="0"/>
    <s v="355-53-5943"/>
    <x v="0"/>
    <x v="0"/>
    <x v="0"/>
    <x v="1"/>
    <n v="68.84"/>
    <x v="2"/>
    <n v="20.652000000000001"/>
    <n v="433.69200000000001"/>
  </r>
  <r>
    <x v="0"/>
    <s v="315-22-5665"/>
    <x v="1"/>
    <x v="1"/>
    <x v="1"/>
    <x v="2"/>
    <n v="73.56"/>
    <x v="3"/>
    <n v="36.78"/>
    <n v="772.38"/>
  </r>
  <r>
    <x v="0"/>
    <s v="665-32-9167"/>
    <x v="0"/>
    <x v="0"/>
    <x v="0"/>
    <x v="0"/>
    <n v="36.26"/>
    <x v="4"/>
    <n v="3.6259999999999999"/>
    <n v="76.146000000000001"/>
  </r>
  <r>
    <x v="0"/>
    <s v="692-92-5582"/>
    <x v="2"/>
    <x v="2"/>
    <x v="0"/>
    <x v="3"/>
    <n v="54.84"/>
    <x v="5"/>
    <n v="8.2260000000000009"/>
    <n v="172.74600000000001"/>
  </r>
  <r>
    <x v="0"/>
    <s v="351-62-0822"/>
    <x v="2"/>
    <x v="2"/>
    <x v="0"/>
    <x v="4"/>
    <n v="14.48"/>
    <x v="6"/>
    <n v="2.8960000000000004"/>
    <n v="60.816000000000003"/>
  </r>
  <r>
    <x v="0"/>
    <s v="365-64-0515"/>
    <x v="0"/>
    <x v="0"/>
    <x v="1"/>
    <x v="1"/>
    <n v="46.95"/>
    <x v="1"/>
    <n v="11.737500000000001"/>
    <n v="246.48750000000001"/>
  </r>
  <r>
    <x v="0"/>
    <s v="829-34-3910"/>
    <x v="0"/>
    <x v="0"/>
    <x v="1"/>
    <x v="0"/>
    <n v="71.38"/>
    <x v="3"/>
    <n v="35.69"/>
    <n v="749.49"/>
  </r>
  <r>
    <x v="0"/>
    <s v="299-46-1805"/>
    <x v="2"/>
    <x v="2"/>
    <x v="0"/>
    <x v="5"/>
    <n v="93.72"/>
    <x v="2"/>
    <n v="28.116"/>
    <n v="590.43599999999992"/>
  </r>
  <r>
    <x v="0"/>
    <s v="656-95-9349"/>
    <x v="0"/>
    <x v="0"/>
    <x v="0"/>
    <x v="0"/>
    <n v="68.930000000000007"/>
    <x v="0"/>
    <n v="24.125500000000002"/>
    <n v="506.63550000000004"/>
  </r>
  <r>
    <x v="0"/>
    <s v="319-50-3348"/>
    <x v="2"/>
    <x v="2"/>
    <x v="1"/>
    <x v="2"/>
    <n v="40.299999999999997"/>
    <x v="4"/>
    <n v="4.03"/>
    <n v="84.63"/>
  </r>
  <r>
    <x v="0"/>
    <s v="227-03-5010"/>
    <x v="0"/>
    <x v="0"/>
    <x v="0"/>
    <x v="2"/>
    <n v="52.59"/>
    <x v="7"/>
    <n v="21.036000000000001"/>
    <n v="441.75600000000003"/>
  </r>
  <r>
    <x v="0"/>
    <s v="189-17-4241"/>
    <x v="0"/>
    <x v="0"/>
    <x v="1"/>
    <x v="4"/>
    <n v="87.67"/>
    <x v="4"/>
    <n v="8.7670000000000012"/>
    <n v="184.107"/>
  </r>
  <r>
    <x v="0"/>
    <s v="145-94-9061"/>
    <x v="2"/>
    <x v="2"/>
    <x v="1"/>
    <x v="3"/>
    <n v="88.36"/>
    <x v="1"/>
    <n v="22.090000000000003"/>
    <n v="463.89"/>
  </r>
  <r>
    <x v="0"/>
    <s v="183-56-6882"/>
    <x v="1"/>
    <x v="1"/>
    <x v="0"/>
    <x v="3"/>
    <n v="99.42"/>
    <x v="6"/>
    <n v="19.884"/>
    <n v="417.56400000000002"/>
  </r>
  <r>
    <x v="0"/>
    <s v="232-16-2483"/>
    <x v="1"/>
    <x v="1"/>
    <x v="0"/>
    <x v="5"/>
    <n v="68.12"/>
    <x v="8"/>
    <n v="3.4060000000000006"/>
    <n v="71.52600000000001"/>
  </r>
  <r>
    <x v="0"/>
    <s v="272-65-1806"/>
    <x v="0"/>
    <x v="0"/>
    <x v="1"/>
    <x v="1"/>
    <n v="60.88"/>
    <x v="9"/>
    <n v="27.396000000000004"/>
    <n v="575.31600000000003"/>
  </r>
  <r>
    <x v="0"/>
    <s v="333-73-7901"/>
    <x v="1"/>
    <x v="1"/>
    <x v="1"/>
    <x v="0"/>
    <n v="54.92"/>
    <x v="7"/>
    <n v="21.968000000000004"/>
    <n v="461.32800000000003"/>
  </r>
  <r>
    <x v="0"/>
    <s v="280-35-5823"/>
    <x v="2"/>
    <x v="2"/>
    <x v="0"/>
    <x v="2"/>
    <n v="86.72"/>
    <x v="8"/>
    <n v="4.3360000000000003"/>
    <n v="91.055999999999997"/>
  </r>
  <r>
    <x v="0"/>
    <s v="354-25-5821"/>
    <x v="2"/>
    <x v="2"/>
    <x v="0"/>
    <x v="5"/>
    <n v="69.12"/>
    <x v="2"/>
    <n v="20.736000000000004"/>
    <n v="435.45600000000002"/>
  </r>
  <r>
    <x v="0"/>
    <s v="228-96-1411"/>
    <x v="1"/>
    <x v="1"/>
    <x v="0"/>
    <x v="3"/>
    <n v="98.7"/>
    <x v="7"/>
    <n v="39.480000000000004"/>
    <n v="829.08"/>
  </r>
  <r>
    <x v="0"/>
    <s v="132-32-9879"/>
    <x v="2"/>
    <x v="2"/>
    <x v="0"/>
    <x v="1"/>
    <n v="93.96"/>
    <x v="6"/>
    <n v="18.791999999999998"/>
    <n v="394.63199999999995"/>
  </r>
  <r>
    <x v="0"/>
    <s v="727-46-3608"/>
    <x v="2"/>
    <x v="2"/>
    <x v="0"/>
    <x v="3"/>
    <n v="20.010000000000002"/>
    <x v="9"/>
    <n v="9.0045000000000002"/>
    <n v="189.09450000000001"/>
  </r>
  <r>
    <x v="0"/>
    <s v="574-22-5561"/>
    <x v="1"/>
    <x v="1"/>
    <x v="0"/>
    <x v="4"/>
    <n v="82.63"/>
    <x v="3"/>
    <n v="41.314999999999998"/>
    <n v="867.61500000000001"/>
  </r>
  <r>
    <x v="0"/>
    <s v="162-48-8011"/>
    <x v="0"/>
    <x v="0"/>
    <x v="0"/>
    <x v="3"/>
    <n v="44.59"/>
    <x v="1"/>
    <n v="11.147500000000001"/>
    <n v="234.09750000000003"/>
  </r>
  <r>
    <x v="0"/>
    <s v="616-24-2851"/>
    <x v="2"/>
    <x v="2"/>
    <x v="0"/>
    <x v="4"/>
    <n v="17.87"/>
    <x v="6"/>
    <n v="3.5740000000000003"/>
    <n v="75.054000000000002"/>
  </r>
  <r>
    <x v="0"/>
    <s v="399-46-5918"/>
    <x v="1"/>
    <x v="1"/>
    <x v="1"/>
    <x v="1"/>
    <n v="85.98"/>
    <x v="7"/>
    <n v="34.392000000000003"/>
    <n v="722.23200000000008"/>
  </r>
  <r>
    <x v="0"/>
    <s v="817-48-8732"/>
    <x v="0"/>
    <x v="0"/>
    <x v="0"/>
    <x v="2"/>
    <n v="72.349999999999994"/>
    <x v="3"/>
    <n v="36.175000000000004"/>
    <n v="759.67499999999995"/>
  </r>
  <r>
    <x v="0"/>
    <s v="285-68-5083"/>
    <x v="1"/>
    <x v="1"/>
    <x v="0"/>
    <x v="5"/>
    <n v="24.74"/>
    <x v="5"/>
    <n v="3.7110000000000003"/>
    <n v="77.930999999999997"/>
  </r>
  <r>
    <x v="0"/>
    <s v="347-34-2234"/>
    <x v="2"/>
    <x v="2"/>
    <x v="0"/>
    <x v="5"/>
    <n v="55.07"/>
    <x v="9"/>
    <n v="24.781500000000001"/>
    <n v="520.41150000000005"/>
  </r>
  <r>
    <x v="0"/>
    <s v="838-78-4295"/>
    <x v="1"/>
    <x v="1"/>
    <x v="1"/>
    <x v="0"/>
    <n v="33.47"/>
    <x v="4"/>
    <n v="3.347"/>
    <n v="70.286999999999992"/>
  </r>
  <r>
    <x v="0"/>
    <s v="109-28-2512"/>
    <x v="2"/>
    <x v="2"/>
    <x v="0"/>
    <x v="4"/>
    <n v="97.61"/>
    <x v="2"/>
    <n v="29.283000000000001"/>
    <n v="614.94299999999998"/>
  </r>
  <r>
    <x v="0"/>
    <s v="382-03-4532"/>
    <x v="0"/>
    <x v="0"/>
    <x v="0"/>
    <x v="0"/>
    <n v="18.329999999999998"/>
    <x v="8"/>
    <n v="0.91649999999999998"/>
    <n v="19.246499999999997"/>
  </r>
  <r>
    <x v="0"/>
    <s v="510-95-6347"/>
    <x v="2"/>
    <x v="2"/>
    <x v="0"/>
    <x v="3"/>
    <n v="48.52"/>
    <x v="5"/>
    <n v="7.2780000000000005"/>
    <n v="152.83799999999999"/>
  </r>
  <r>
    <x v="0"/>
    <s v="841-35-6630"/>
    <x v="1"/>
    <x v="1"/>
    <x v="1"/>
    <x v="1"/>
    <n v="75.91"/>
    <x v="2"/>
    <n v="22.773"/>
    <n v="478.233"/>
  </r>
  <r>
    <x v="0"/>
    <s v="732-94-0499"/>
    <x v="1"/>
    <x v="1"/>
    <x v="1"/>
    <x v="1"/>
    <n v="41.65"/>
    <x v="3"/>
    <n v="20.825000000000003"/>
    <n v="437.32499999999999"/>
  </r>
  <r>
    <x v="0"/>
    <s v="381-20-0914"/>
    <x v="0"/>
    <x v="0"/>
    <x v="0"/>
    <x v="4"/>
    <n v="20.010000000000002"/>
    <x v="9"/>
    <n v="9.0045000000000002"/>
    <n v="189.09450000000001"/>
  </r>
  <r>
    <x v="0"/>
    <s v="829-49-1914"/>
    <x v="1"/>
    <x v="1"/>
    <x v="0"/>
    <x v="3"/>
    <n v="78.31"/>
    <x v="3"/>
    <n v="39.155000000000001"/>
    <n v="822.255"/>
  </r>
  <r>
    <x v="0"/>
    <s v="756-01-7507"/>
    <x v="1"/>
    <x v="1"/>
    <x v="1"/>
    <x v="0"/>
    <n v="20.38"/>
    <x v="1"/>
    <n v="5.0949999999999998"/>
    <n v="106.99499999999999"/>
  </r>
  <r>
    <x v="0"/>
    <s v="870-72-4431"/>
    <x v="1"/>
    <x v="1"/>
    <x v="1"/>
    <x v="0"/>
    <n v="99.19"/>
    <x v="2"/>
    <n v="29.757000000000001"/>
    <n v="624.89699999999993"/>
  </r>
  <r>
    <x v="0"/>
    <s v="847-38-7188"/>
    <x v="2"/>
    <x v="2"/>
    <x v="1"/>
    <x v="3"/>
    <n v="96.68"/>
    <x v="5"/>
    <n v="14.502000000000002"/>
    <n v="304.54200000000003"/>
  </r>
  <r>
    <x v="0"/>
    <s v="787-56-0757"/>
    <x v="1"/>
    <x v="1"/>
    <x v="0"/>
    <x v="3"/>
    <n v="80.36"/>
    <x v="6"/>
    <n v="16.071999999999999"/>
    <n v="337.512"/>
  </r>
  <r>
    <x v="0"/>
    <s v="730-50-9884"/>
    <x v="1"/>
    <x v="1"/>
    <x v="1"/>
    <x v="5"/>
    <n v="83.06"/>
    <x v="0"/>
    <n v="29.071000000000005"/>
    <n v="610.4910000000001"/>
  </r>
  <r>
    <x v="0"/>
    <s v="318-68-5053"/>
    <x v="2"/>
    <x v="2"/>
    <x v="1"/>
    <x v="0"/>
    <n v="76.989999999999995"/>
    <x v="2"/>
    <n v="23.096999999999998"/>
    <n v="485.03699999999992"/>
  </r>
  <r>
    <x v="0"/>
    <s v="565-80-5980"/>
    <x v="1"/>
    <x v="1"/>
    <x v="0"/>
    <x v="2"/>
    <n v="47.38"/>
    <x v="6"/>
    <n v="9.4760000000000009"/>
    <n v="198.99600000000001"/>
  </r>
  <r>
    <x v="0"/>
    <s v="225-32-0908"/>
    <x v="1"/>
    <x v="1"/>
    <x v="1"/>
    <x v="5"/>
    <n v="44.86"/>
    <x v="3"/>
    <n v="22.430000000000003"/>
    <n v="471.03000000000003"/>
  </r>
  <r>
    <x v="0"/>
    <s v="873-51-0671"/>
    <x v="0"/>
    <x v="0"/>
    <x v="0"/>
    <x v="5"/>
    <n v="21.98"/>
    <x v="0"/>
    <n v="7.6930000000000014"/>
    <n v="161.55300000000003"/>
  </r>
  <r>
    <x v="0"/>
    <s v="871-39-9221"/>
    <x v="1"/>
    <x v="1"/>
    <x v="1"/>
    <x v="1"/>
    <n v="12.45"/>
    <x v="2"/>
    <n v="3.7349999999999994"/>
    <n v="78.434999999999988"/>
  </r>
  <r>
    <x v="0"/>
    <s v="551-21-3069"/>
    <x v="1"/>
    <x v="1"/>
    <x v="1"/>
    <x v="1"/>
    <n v="23.07"/>
    <x v="9"/>
    <n v="10.381500000000001"/>
    <n v="218.01149999999998"/>
  </r>
  <r>
    <x v="0"/>
    <s v="588-01-7461"/>
    <x v="1"/>
    <x v="1"/>
    <x v="1"/>
    <x v="3"/>
    <n v="33.979999999999997"/>
    <x v="9"/>
    <n v="15.291"/>
    <n v="321.11099999999999"/>
  </r>
  <r>
    <x v="0"/>
    <s v="479-26-8945"/>
    <x v="2"/>
    <x v="2"/>
    <x v="0"/>
    <x v="5"/>
    <n v="16.489999999999998"/>
    <x v="4"/>
    <n v="1.649"/>
    <n v="34.628999999999998"/>
  </r>
  <r>
    <x v="0"/>
    <s v="210-67-5886"/>
    <x v="1"/>
    <x v="1"/>
    <x v="0"/>
    <x v="0"/>
    <n v="98.21"/>
    <x v="5"/>
    <n v="14.7315"/>
    <n v="309.36149999999998"/>
  </r>
  <r>
    <x v="0"/>
    <s v="227-78-1148"/>
    <x v="2"/>
    <x v="2"/>
    <x v="1"/>
    <x v="4"/>
    <n v="72.84"/>
    <x v="0"/>
    <n v="25.494"/>
    <n v="535.37400000000002"/>
  </r>
  <r>
    <x v="0"/>
    <s v="237-01-6122"/>
    <x v="1"/>
    <x v="1"/>
    <x v="0"/>
    <x v="2"/>
    <n v="80.790000000000006"/>
    <x v="9"/>
    <n v="36.355499999999999"/>
    <n v="763.46550000000002"/>
  </r>
  <r>
    <x v="0"/>
    <s v="225-98-1496"/>
    <x v="1"/>
    <x v="1"/>
    <x v="1"/>
    <x v="4"/>
    <n v="27.02"/>
    <x v="5"/>
    <n v="4.0529999999999999"/>
    <n v="85.113"/>
  </r>
  <r>
    <x v="0"/>
    <s v="642-32-2990"/>
    <x v="0"/>
    <x v="0"/>
    <x v="1"/>
    <x v="3"/>
    <n v="10.96"/>
    <x v="3"/>
    <n v="5.48"/>
    <n v="115.08000000000001"/>
  </r>
  <r>
    <x v="0"/>
    <s v="638-60-7125"/>
    <x v="0"/>
    <x v="0"/>
    <x v="1"/>
    <x v="1"/>
    <n v="99.56"/>
    <x v="7"/>
    <n v="39.824000000000005"/>
    <n v="836.30399999999997"/>
  </r>
  <r>
    <x v="0"/>
    <s v="268-27-6179"/>
    <x v="2"/>
    <x v="2"/>
    <x v="0"/>
    <x v="4"/>
    <n v="56.47"/>
    <x v="7"/>
    <n v="22.588000000000001"/>
    <n v="474.34800000000001"/>
  </r>
  <r>
    <x v="0"/>
    <s v="668-90-8900"/>
    <x v="0"/>
    <x v="0"/>
    <x v="1"/>
    <x v="2"/>
    <n v="93.69"/>
    <x v="0"/>
    <n v="32.791499999999999"/>
    <n v="688.62149999999997"/>
  </r>
  <r>
    <x v="0"/>
    <s v="870-54-3162"/>
    <x v="0"/>
    <x v="0"/>
    <x v="1"/>
    <x v="5"/>
    <n v="32.25"/>
    <x v="1"/>
    <n v="8.0625"/>
    <n v="169.3125"/>
  </r>
  <r>
    <x v="0"/>
    <s v="189-08-9157"/>
    <x v="1"/>
    <x v="1"/>
    <x v="1"/>
    <x v="4"/>
    <n v="31.73"/>
    <x v="9"/>
    <n v="14.278500000000001"/>
    <n v="299.8485"/>
  </r>
  <r>
    <x v="0"/>
    <s v="663-86-9076"/>
    <x v="1"/>
    <x v="1"/>
    <x v="0"/>
    <x v="3"/>
    <n v="68.540000000000006"/>
    <x v="7"/>
    <n v="27.416000000000004"/>
    <n v="575.7360000000001"/>
  </r>
  <r>
    <x v="0"/>
    <s v="549-84-7482"/>
    <x v="2"/>
    <x v="2"/>
    <x v="1"/>
    <x v="5"/>
    <n v="90.28"/>
    <x v="9"/>
    <n v="40.626000000000005"/>
    <n v="853.14599999999996"/>
  </r>
  <r>
    <x v="0"/>
    <s v="191-10-6171"/>
    <x v="2"/>
    <x v="2"/>
    <x v="1"/>
    <x v="4"/>
    <n v="39.619999999999997"/>
    <x v="0"/>
    <n v="13.866999999999999"/>
    <n v="291.20699999999999"/>
  </r>
  <r>
    <x v="0"/>
    <s v="802-70-5316"/>
    <x v="0"/>
    <x v="0"/>
    <x v="0"/>
    <x v="5"/>
    <n v="92.13"/>
    <x v="2"/>
    <n v="27.638999999999999"/>
    <n v="580.41899999999998"/>
  </r>
  <r>
    <x v="0"/>
    <s v="695-51-0018"/>
    <x v="2"/>
    <x v="2"/>
    <x v="1"/>
    <x v="5"/>
    <n v="34.840000000000003"/>
    <x v="6"/>
    <n v="6.9680000000000009"/>
    <n v="146.328"/>
  </r>
  <r>
    <x v="0"/>
    <s v="483-71-1164"/>
    <x v="1"/>
    <x v="1"/>
    <x v="1"/>
    <x v="0"/>
    <n v="81.3"/>
    <x v="2"/>
    <n v="24.39"/>
    <n v="512.18999999999994"/>
  </r>
  <r>
    <x v="0"/>
    <s v="700-81-1757"/>
    <x v="0"/>
    <x v="0"/>
    <x v="1"/>
    <x v="1"/>
    <n v="26.31"/>
    <x v="1"/>
    <n v="6.5774999999999997"/>
    <n v="138.12749999999997"/>
  </r>
  <r>
    <x v="0"/>
    <s v="354-39-5160"/>
    <x v="0"/>
    <x v="0"/>
    <x v="0"/>
    <x v="2"/>
    <n v="34.42"/>
    <x v="2"/>
    <n v="10.326000000000001"/>
    <n v="216.846"/>
  </r>
  <r>
    <x v="0"/>
    <s v="731-81-9469"/>
    <x v="1"/>
    <x v="1"/>
    <x v="0"/>
    <x v="5"/>
    <n v="89.8"/>
    <x v="3"/>
    <n v="44.900000000000006"/>
    <n v="942.9"/>
  </r>
  <r>
    <x v="0"/>
    <s v="338-65-2210"/>
    <x v="1"/>
    <x v="1"/>
    <x v="0"/>
    <x v="0"/>
    <n v="68.599999999999994"/>
    <x v="3"/>
    <n v="34.300000000000004"/>
    <n v="720.3"/>
  </r>
  <r>
    <x v="0"/>
    <s v="488-25-4221"/>
    <x v="1"/>
    <x v="1"/>
    <x v="0"/>
    <x v="3"/>
    <n v="30.41"/>
    <x v="8"/>
    <n v="1.5205000000000002"/>
    <n v="31.930500000000002"/>
  </r>
  <r>
    <x v="0"/>
    <s v="239-10-7476"/>
    <x v="0"/>
    <x v="0"/>
    <x v="1"/>
    <x v="2"/>
    <n v="77.95"/>
    <x v="2"/>
    <n v="23.385000000000005"/>
    <n v="491.08500000000004"/>
  </r>
  <r>
    <x v="0"/>
    <s v="458-41-1477"/>
    <x v="1"/>
    <x v="1"/>
    <x v="1"/>
    <x v="0"/>
    <n v="46.26"/>
    <x v="2"/>
    <n v="13.878"/>
    <n v="291.43799999999999"/>
  </r>
  <r>
    <x v="0"/>
    <s v="685-64-1609"/>
    <x v="0"/>
    <x v="0"/>
    <x v="0"/>
    <x v="4"/>
    <n v="30.14"/>
    <x v="3"/>
    <n v="15.07"/>
    <n v="316.46999999999997"/>
  </r>
  <r>
    <x v="0"/>
    <s v="608-96-3517"/>
    <x v="2"/>
    <x v="2"/>
    <x v="0"/>
    <x v="4"/>
    <n v="91.54"/>
    <x v="6"/>
    <n v="18.308000000000003"/>
    <n v="384.46800000000002"/>
  </r>
  <r>
    <x v="0"/>
    <s v="214-17-6927"/>
    <x v="1"/>
    <x v="1"/>
    <x v="1"/>
    <x v="3"/>
    <n v="16.48"/>
    <x v="2"/>
    <n v="4.944"/>
    <n v="103.824"/>
  </r>
  <r>
    <x v="0"/>
    <s v="400-89-4171"/>
    <x v="1"/>
    <x v="1"/>
    <x v="1"/>
    <x v="5"/>
    <n v="80.97"/>
    <x v="7"/>
    <n v="32.387999999999998"/>
    <n v="680.14800000000002"/>
  </r>
  <r>
    <x v="0"/>
    <s v="894-41-5205"/>
    <x v="1"/>
    <x v="1"/>
    <x v="1"/>
    <x v="3"/>
    <n v="43.18"/>
    <x v="7"/>
    <n v="17.272000000000002"/>
    <n v="362.71199999999999"/>
  </r>
  <r>
    <x v="0"/>
    <s v="139-52-2867"/>
    <x v="1"/>
    <x v="1"/>
    <x v="1"/>
    <x v="4"/>
    <n v="22.51"/>
    <x v="0"/>
    <n v="7.8785000000000016"/>
    <n v="165.44850000000002"/>
  </r>
  <r>
    <x v="0"/>
    <s v="586-25-0848"/>
    <x v="0"/>
    <x v="0"/>
    <x v="1"/>
    <x v="5"/>
    <n v="12.34"/>
    <x v="0"/>
    <n v="4.319"/>
    <n v="90.698999999999998"/>
  </r>
  <r>
    <x v="0"/>
    <s v="305-14-0245"/>
    <x v="2"/>
    <x v="2"/>
    <x v="0"/>
    <x v="2"/>
    <n v="94.49"/>
    <x v="7"/>
    <n v="37.795999999999999"/>
    <n v="793.71600000000001"/>
  </r>
  <r>
    <x v="0"/>
    <s v="593-65-1552"/>
    <x v="1"/>
    <x v="1"/>
    <x v="1"/>
    <x v="2"/>
    <n v="69.81"/>
    <x v="6"/>
    <n v="13.962000000000002"/>
    <n v="293.202"/>
  </r>
  <r>
    <x v="0"/>
    <s v="284-34-9626"/>
    <x v="2"/>
    <x v="2"/>
    <x v="1"/>
    <x v="2"/>
    <n v="77.040000000000006"/>
    <x v="5"/>
    <n v="11.556000000000001"/>
    <n v="242.67600000000002"/>
  </r>
  <r>
    <x v="0"/>
    <s v="437-58-8131"/>
    <x v="2"/>
    <x v="2"/>
    <x v="1"/>
    <x v="4"/>
    <n v="73.52"/>
    <x v="4"/>
    <n v="7.3520000000000003"/>
    <n v="154.392"/>
  </r>
  <r>
    <x v="0"/>
    <s v="286-43-6208"/>
    <x v="1"/>
    <x v="1"/>
    <x v="1"/>
    <x v="3"/>
    <n v="87.8"/>
    <x v="9"/>
    <n v="39.51"/>
    <n v="829.70999999999992"/>
  </r>
  <r>
    <x v="0"/>
    <s v="556-86-3144"/>
    <x v="1"/>
    <x v="1"/>
    <x v="0"/>
    <x v="4"/>
    <n v="74.290000000000006"/>
    <x v="8"/>
    <n v="3.7145000000000006"/>
    <n v="78.004500000000007"/>
  </r>
  <r>
    <x v="0"/>
    <s v="856-22-8149"/>
    <x v="0"/>
    <x v="0"/>
    <x v="1"/>
    <x v="2"/>
    <n v="25.29"/>
    <x v="8"/>
    <n v="1.2645"/>
    <n v="26.554499999999997"/>
  </r>
  <r>
    <x v="0"/>
    <s v="420-11-4919"/>
    <x v="1"/>
    <x v="1"/>
    <x v="0"/>
    <x v="3"/>
    <n v="71.39"/>
    <x v="1"/>
    <n v="17.8475"/>
    <n v="374.79750000000001"/>
  </r>
  <r>
    <x v="0"/>
    <s v="606-80-4905"/>
    <x v="1"/>
    <x v="1"/>
    <x v="0"/>
    <x v="5"/>
    <n v="19.149999999999999"/>
    <x v="2"/>
    <n v="5.7450000000000001"/>
    <n v="120.645"/>
  </r>
  <r>
    <x v="0"/>
    <s v="542-41-0513"/>
    <x v="2"/>
    <x v="2"/>
    <x v="0"/>
    <x v="1"/>
    <n v="57.49"/>
    <x v="6"/>
    <n v="11.498000000000001"/>
    <n v="241.458"/>
  </r>
  <r>
    <x v="0"/>
    <s v="749-24-1565"/>
    <x v="0"/>
    <x v="0"/>
    <x v="1"/>
    <x v="0"/>
    <n v="23.03"/>
    <x v="9"/>
    <n v="10.363500000000002"/>
    <n v="217.63350000000003"/>
  </r>
  <r>
    <x v="0"/>
    <s v="672-51-8681"/>
    <x v="1"/>
    <x v="1"/>
    <x v="0"/>
    <x v="1"/>
    <n v="66.650000000000006"/>
    <x v="9"/>
    <n v="29.992500000000003"/>
    <n v="629.84249999999997"/>
  </r>
  <r>
    <x v="0"/>
    <s v="263-87-5680"/>
    <x v="1"/>
    <x v="1"/>
    <x v="0"/>
    <x v="2"/>
    <n v="28.53"/>
    <x v="3"/>
    <n v="14.265000000000001"/>
    <n v="299.565"/>
  </r>
  <r>
    <x v="0"/>
    <s v="573-58-9734"/>
    <x v="2"/>
    <x v="2"/>
    <x v="1"/>
    <x v="4"/>
    <n v="30.37"/>
    <x v="5"/>
    <n v="4.5555000000000003"/>
    <n v="95.665499999999994"/>
  </r>
  <r>
    <x v="0"/>
    <s v="817-69-8206"/>
    <x v="2"/>
    <x v="2"/>
    <x v="1"/>
    <x v="1"/>
    <n v="99.73"/>
    <x v="9"/>
    <n v="44.878500000000003"/>
    <n v="942.44850000000008"/>
  </r>
  <r>
    <x v="0"/>
    <s v="677-11-0152"/>
    <x v="1"/>
    <x v="1"/>
    <x v="1"/>
    <x v="3"/>
    <n v="93.26"/>
    <x v="9"/>
    <n v="41.967000000000006"/>
    <n v="881.30700000000002"/>
  </r>
  <r>
    <x v="0"/>
    <s v="891-58-8335"/>
    <x v="2"/>
    <x v="2"/>
    <x v="0"/>
    <x v="5"/>
    <n v="29.61"/>
    <x v="0"/>
    <n v="10.3635"/>
    <n v="217.63349999999997"/>
  </r>
  <r>
    <x v="0"/>
    <s v="560-30-5617"/>
    <x v="2"/>
    <x v="2"/>
    <x v="1"/>
    <x v="5"/>
    <n v="24.77"/>
    <x v="1"/>
    <n v="6.1924999999999999"/>
    <n v="130.04249999999999"/>
  </r>
  <r>
    <x v="0"/>
    <s v="319-74-2561"/>
    <x v="0"/>
    <x v="0"/>
    <x v="0"/>
    <x v="1"/>
    <n v="94.64"/>
    <x v="5"/>
    <n v="14.196000000000002"/>
    <n v="298.11600000000004"/>
  </r>
  <r>
    <x v="0"/>
    <s v="790-29-1172"/>
    <x v="2"/>
    <x v="2"/>
    <x v="1"/>
    <x v="3"/>
    <n v="57.34"/>
    <x v="5"/>
    <n v="8.6010000000000009"/>
    <n v="180.62100000000001"/>
  </r>
  <r>
    <x v="0"/>
    <s v="279-62-1445"/>
    <x v="1"/>
    <x v="1"/>
    <x v="0"/>
    <x v="4"/>
    <n v="12.54"/>
    <x v="8"/>
    <n v="0.627"/>
    <n v="13.167"/>
  </r>
  <r>
    <x v="0"/>
    <s v="746-68-6593"/>
    <x v="1"/>
    <x v="1"/>
    <x v="0"/>
    <x v="5"/>
    <n v="87.16"/>
    <x v="4"/>
    <n v="8.7159999999999993"/>
    <n v="183.036"/>
  </r>
  <r>
    <x v="0"/>
    <s v="466-61-5506"/>
    <x v="2"/>
    <x v="2"/>
    <x v="0"/>
    <x v="1"/>
    <n v="90.7"/>
    <x v="2"/>
    <n v="27.210000000000004"/>
    <n v="571.41000000000008"/>
  </r>
  <r>
    <x v="0"/>
    <s v="721-86-6247"/>
    <x v="0"/>
    <x v="0"/>
    <x v="1"/>
    <x v="2"/>
    <n v="63.42"/>
    <x v="7"/>
    <n v="25.368000000000002"/>
    <n v="532.72800000000007"/>
  </r>
  <r>
    <x v="0"/>
    <s v="289-65-5721"/>
    <x v="2"/>
    <x v="2"/>
    <x v="1"/>
    <x v="4"/>
    <n v="81.37"/>
    <x v="4"/>
    <n v="8.1370000000000005"/>
    <n v="170.87700000000001"/>
  </r>
  <r>
    <x v="0"/>
    <s v="545-46-3100"/>
    <x v="2"/>
    <x v="2"/>
    <x v="0"/>
    <x v="1"/>
    <n v="10.59"/>
    <x v="5"/>
    <n v="1.5885"/>
    <n v="33.358499999999999"/>
  </r>
  <r>
    <x v="0"/>
    <s v="418-02-5978"/>
    <x v="2"/>
    <x v="2"/>
    <x v="1"/>
    <x v="0"/>
    <n v="84.09"/>
    <x v="9"/>
    <n v="37.840500000000006"/>
    <n v="794.65050000000008"/>
  </r>
  <r>
    <x v="0"/>
    <s v="645-78-8093"/>
    <x v="0"/>
    <x v="0"/>
    <x v="1"/>
    <x v="5"/>
    <n v="93.14"/>
    <x v="4"/>
    <n v="9.3140000000000001"/>
    <n v="195.59399999999999"/>
  </r>
  <r>
    <x v="0"/>
    <s v="755-12-3214"/>
    <x v="1"/>
    <x v="1"/>
    <x v="0"/>
    <x v="4"/>
    <n v="44.22"/>
    <x v="1"/>
    <n v="11.055"/>
    <n v="232.155"/>
  </r>
  <r>
    <x v="0"/>
    <s v="346-84-3103"/>
    <x v="2"/>
    <x v="2"/>
    <x v="0"/>
    <x v="1"/>
    <n v="13.22"/>
    <x v="1"/>
    <n v="3.3050000000000006"/>
    <n v="69.405000000000015"/>
  </r>
  <r>
    <x v="0"/>
    <s v="866-05-7563"/>
    <x v="2"/>
    <x v="2"/>
    <x v="0"/>
    <x v="1"/>
    <n v="81.400000000000006"/>
    <x v="5"/>
    <n v="12.21"/>
    <n v="256.41000000000003"/>
  </r>
  <r>
    <x v="0"/>
    <s v="883-17-4236"/>
    <x v="1"/>
    <x v="1"/>
    <x v="1"/>
    <x v="5"/>
    <n v="14.39"/>
    <x v="4"/>
    <n v="1.4390000000000001"/>
    <n v="30.219000000000001"/>
  </r>
  <r>
    <x v="0"/>
    <s v="850-41-9669"/>
    <x v="0"/>
    <x v="0"/>
    <x v="1"/>
    <x v="1"/>
    <n v="75.06"/>
    <x v="9"/>
    <n v="33.777000000000001"/>
    <n v="709.31700000000001"/>
  </r>
  <r>
    <x v="0"/>
    <s v="821-07-3596"/>
    <x v="1"/>
    <x v="1"/>
    <x v="1"/>
    <x v="4"/>
    <n v="16.45"/>
    <x v="6"/>
    <n v="3.29"/>
    <n v="69.09"/>
  </r>
  <r>
    <x v="0"/>
    <s v="655-85-5130"/>
    <x v="2"/>
    <x v="2"/>
    <x v="0"/>
    <x v="4"/>
    <n v="38.299999999999997"/>
    <x v="6"/>
    <n v="7.66"/>
    <n v="160.85999999999999"/>
  </r>
  <r>
    <x v="0"/>
    <s v="447-15-7839"/>
    <x v="0"/>
    <x v="0"/>
    <x v="0"/>
    <x v="5"/>
    <n v="22.24"/>
    <x v="3"/>
    <n v="11.12"/>
    <n v="233.51999999999998"/>
  </r>
  <r>
    <x v="0"/>
    <s v="253-12-6086"/>
    <x v="0"/>
    <x v="0"/>
    <x v="0"/>
    <x v="5"/>
    <n v="98.4"/>
    <x v="0"/>
    <n v="34.440000000000005"/>
    <n v="723.24000000000012"/>
  </r>
  <r>
    <x v="0"/>
    <s v="571-94-0759"/>
    <x v="2"/>
    <x v="2"/>
    <x v="0"/>
    <x v="3"/>
    <n v="74.599999999999994"/>
    <x v="3"/>
    <n v="37.300000000000004"/>
    <n v="783.3"/>
  </r>
  <r>
    <x v="0"/>
    <s v="731-14-2199"/>
    <x v="0"/>
    <x v="0"/>
    <x v="0"/>
    <x v="2"/>
    <n v="35.54"/>
    <x v="3"/>
    <n v="17.77"/>
    <n v="373.16999999999996"/>
  </r>
  <r>
    <x v="0"/>
    <s v="783-09-1637"/>
    <x v="2"/>
    <x v="2"/>
    <x v="1"/>
    <x v="5"/>
    <n v="67.430000000000007"/>
    <x v="1"/>
    <n v="16.857500000000002"/>
    <n v="354.00750000000005"/>
  </r>
  <r>
    <x v="0"/>
    <s v="687-15-1097"/>
    <x v="1"/>
    <x v="1"/>
    <x v="0"/>
    <x v="0"/>
    <n v="21.12"/>
    <x v="4"/>
    <n v="2.1120000000000001"/>
    <n v="44.352000000000004"/>
  </r>
  <r>
    <x v="0"/>
    <s v="126-54-1082"/>
    <x v="0"/>
    <x v="0"/>
    <x v="0"/>
    <x v="2"/>
    <n v="21.54"/>
    <x v="9"/>
    <n v="9.6929999999999996"/>
    <n v="203.553"/>
  </r>
  <r>
    <x v="0"/>
    <s v="633-91-1052"/>
    <x v="0"/>
    <x v="0"/>
    <x v="1"/>
    <x v="2"/>
    <n v="12.03"/>
    <x v="4"/>
    <n v="1.2030000000000001"/>
    <n v="25.262999999999998"/>
  </r>
  <r>
    <x v="0"/>
    <s v="477-24-6490"/>
    <x v="2"/>
    <x v="2"/>
    <x v="1"/>
    <x v="0"/>
    <n v="99.71"/>
    <x v="2"/>
    <n v="29.913"/>
    <n v="628.173"/>
  </r>
  <r>
    <x v="0"/>
    <s v="526-86-8552"/>
    <x v="1"/>
    <x v="1"/>
    <x v="0"/>
    <x v="2"/>
    <n v="21.82"/>
    <x v="3"/>
    <n v="10.91"/>
    <n v="229.10999999999999"/>
  </r>
  <r>
    <x v="0"/>
    <s v="376-56-3573"/>
    <x v="1"/>
    <x v="1"/>
    <x v="1"/>
    <x v="4"/>
    <n v="95.42"/>
    <x v="6"/>
    <n v="19.084"/>
    <n v="400.76400000000001"/>
  </r>
  <r>
    <x v="0"/>
    <s v="136-08-6195"/>
    <x v="0"/>
    <x v="0"/>
    <x v="1"/>
    <x v="2"/>
    <n v="69.959999999999994"/>
    <x v="7"/>
    <n v="27.983999999999998"/>
    <n v="587.66399999999999"/>
  </r>
  <r>
    <x v="0"/>
    <s v="490-29-1201"/>
    <x v="0"/>
    <x v="0"/>
    <x v="1"/>
    <x v="5"/>
    <n v="15.34"/>
    <x v="8"/>
    <n v="0.76700000000000002"/>
    <n v="16.106999999999999"/>
  </r>
  <r>
    <x v="0"/>
    <s v="565-17-3836"/>
    <x v="0"/>
    <x v="0"/>
    <x v="0"/>
    <x v="0"/>
    <n v="47.67"/>
    <x v="6"/>
    <n v="9.5340000000000007"/>
    <n v="200.214"/>
  </r>
  <r>
    <x v="0"/>
    <s v="226-71-3580"/>
    <x v="1"/>
    <x v="1"/>
    <x v="1"/>
    <x v="5"/>
    <n v="23.75"/>
    <x v="9"/>
    <n v="10.6875"/>
    <n v="224.4375"/>
  </r>
  <r>
    <x v="0"/>
    <s v="283-79-9594"/>
    <x v="2"/>
    <x v="2"/>
    <x v="1"/>
    <x v="3"/>
    <n v="48.51"/>
    <x v="0"/>
    <n v="16.9785"/>
    <n v="356.54849999999999"/>
  </r>
  <r>
    <x v="0"/>
    <s v="430-60-3493"/>
    <x v="0"/>
    <x v="0"/>
    <x v="0"/>
    <x v="2"/>
    <n v="94.88"/>
    <x v="0"/>
    <n v="33.207999999999998"/>
    <n v="697.36799999999994"/>
  </r>
  <r>
    <x v="0"/>
    <s v="278-97-7759"/>
    <x v="0"/>
    <x v="0"/>
    <x v="0"/>
    <x v="1"/>
    <n v="62.48"/>
    <x v="8"/>
    <n v="3.1240000000000001"/>
    <n v="65.603999999999999"/>
  </r>
  <r>
    <x v="0"/>
    <s v="316-68-6352"/>
    <x v="0"/>
    <x v="0"/>
    <x v="0"/>
    <x v="3"/>
    <n v="36.36"/>
    <x v="4"/>
    <n v="3.6360000000000001"/>
    <n v="76.355999999999995"/>
  </r>
  <r>
    <x v="0"/>
    <s v="211-05-0490"/>
    <x v="1"/>
    <x v="1"/>
    <x v="0"/>
    <x v="1"/>
    <n v="51.92"/>
    <x v="1"/>
    <n v="12.980000000000002"/>
    <n v="272.58000000000004"/>
  </r>
  <r>
    <x v="0"/>
    <s v="779-06-0012"/>
    <x v="1"/>
    <x v="1"/>
    <x v="0"/>
    <x v="2"/>
    <n v="88.61"/>
    <x v="8"/>
    <n v="4.4305000000000003"/>
    <n v="93.040499999999994"/>
  </r>
  <r>
    <x v="0"/>
    <s v="439-54-7422"/>
    <x v="0"/>
    <x v="0"/>
    <x v="1"/>
    <x v="1"/>
    <n v="51.19"/>
    <x v="6"/>
    <n v="10.238"/>
    <n v="214.99799999999999"/>
  </r>
  <r>
    <x v="0"/>
    <s v="396-90-2219"/>
    <x v="2"/>
    <x v="2"/>
    <x v="1"/>
    <x v="1"/>
    <n v="14.96"/>
    <x v="7"/>
    <n v="5.9840000000000009"/>
    <n v="125.664"/>
  </r>
  <r>
    <x v="0"/>
    <s v="286-01-5402"/>
    <x v="0"/>
    <x v="0"/>
    <x v="1"/>
    <x v="5"/>
    <n v="40.229999999999997"/>
    <x v="0"/>
    <n v="14.080499999999999"/>
    <n v="295.69049999999993"/>
  </r>
  <r>
    <x v="0"/>
    <s v="803-17-8013"/>
    <x v="0"/>
    <x v="0"/>
    <x v="0"/>
    <x v="2"/>
    <n v="88.79"/>
    <x v="7"/>
    <n v="35.516000000000005"/>
    <n v="745.83600000000001"/>
  </r>
  <r>
    <x v="0"/>
    <s v="512-98-1403"/>
    <x v="0"/>
    <x v="0"/>
    <x v="0"/>
    <x v="1"/>
    <n v="26.48"/>
    <x v="5"/>
    <n v="3.972"/>
    <n v="83.411999999999992"/>
  </r>
  <r>
    <x v="0"/>
    <s v="848-42-2560"/>
    <x v="0"/>
    <x v="0"/>
    <x v="1"/>
    <x v="4"/>
    <n v="81.91"/>
    <x v="4"/>
    <n v="8.1910000000000007"/>
    <n v="172.011"/>
  </r>
  <r>
    <x v="0"/>
    <s v="870-76-1733"/>
    <x v="0"/>
    <x v="0"/>
    <x v="0"/>
    <x v="3"/>
    <n v="14.23"/>
    <x v="1"/>
    <n v="3.5575000000000006"/>
    <n v="74.70750000000001"/>
  </r>
  <r>
    <x v="0"/>
    <s v="423-64-4619"/>
    <x v="0"/>
    <x v="0"/>
    <x v="0"/>
    <x v="0"/>
    <n v="15.55"/>
    <x v="9"/>
    <n v="6.9975000000000014"/>
    <n v="146.94750000000002"/>
  </r>
  <r>
    <x v="0"/>
    <s v="227-07-4446"/>
    <x v="1"/>
    <x v="1"/>
    <x v="0"/>
    <x v="1"/>
    <n v="78.13"/>
    <x v="3"/>
    <n v="39.064999999999998"/>
    <n v="820.36500000000001"/>
  </r>
  <r>
    <x v="0"/>
    <s v="428-83-5800"/>
    <x v="1"/>
    <x v="1"/>
    <x v="0"/>
    <x v="3"/>
    <n v="21.08"/>
    <x v="5"/>
    <n v="3.1619999999999999"/>
    <n v="66.402000000000001"/>
  </r>
  <r>
    <x v="0"/>
    <s v="704-20-4138"/>
    <x v="1"/>
    <x v="1"/>
    <x v="0"/>
    <x v="0"/>
    <n v="29.67"/>
    <x v="0"/>
    <n v="10.384500000000001"/>
    <n v="218.0745"/>
  </r>
  <r>
    <x v="0"/>
    <s v="649-11-3678"/>
    <x v="1"/>
    <x v="1"/>
    <x v="1"/>
    <x v="3"/>
    <n v="22.93"/>
    <x v="9"/>
    <n v="10.3185"/>
    <n v="216.6885"/>
  </r>
  <r>
    <x v="0"/>
    <s v="622-20-1945"/>
    <x v="1"/>
    <x v="1"/>
    <x v="1"/>
    <x v="0"/>
    <n v="39.42"/>
    <x v="8"/>
    <n v="1.9710000000000001"/>
    <n v="41.391000000000005"/>
  </r>
  <r>
    <x v="0"/>
    <s v="563-91-7120"/>
    <x v="0"/>
    <x v="0"/>
    <x v="1"/>
    <x v="4"/>
    <n v="61.77"/>
    <x v="1"/>
    <n v="15.442500000000003"/>
    <n v="324.29250000000002"/>
  </r>
  <r>
    <x v="0"/>
    <s v="527-09-6272"/>
    <x v="0"/>
    <x v="0"/>
    <x v="0"/>
    <x v="1"/>
    <n v="28.45"/>
    <x v="1"/>
    <n v="7.1125000000000007"/>
    <n v="149.36250000000001"/>
  </r>
  <r>
    <x v="0"/>
    <s v="692-27-8933"/>
    <x v="2"/>
    <x v="2"/>
    <x v="1"/>
    <x v="5"/>
    <n v="57.95"/>
    <x v="2"/>
    <n v="17.385000000000002"/>
    <n v="365.08500000000004"/>
  </r>
  <r>
    <x v="0"/>
    <s v="633-09-3463"/>
    <x v="1"/>
    <x v="1"/>
    <x v="1"/>
    <x v="1"/>
    <n v="47.65"/>
    <x v="5"/>
    <n v="7.1475"/>
    <n v="150.0975"/>
  </r>
  <r>
    <x v="0"/>
    <s v="374-17-3652"/>
    <x v="2"/>
    <x v="2"/>
    <x v="0"/>
    <x v="3"/>
    <n v="42.82"/>
    <x v="9"/>
    <n v="19.269000000000002"/>
    <n v="404.649"/>
  </r>
  <r>
    <x v="0"/>
    <s v="433-75-6987"/>
    <x v="2"/>
    <x v="2"/>
    <x v="0"/>
    <x v="0"/>
    <n v="55.97"/>
    <x v="0"/>
    <n v="19.589500000000001"/>
    <n v="411.37949999999995"/>
  </r>
  <r>
    <x v="0"/>
    <s v="873-95-4984"/>
    <x v="2"/>
    <x v="2"/>
    <x v="0"/>
    <x v="0"/>
    <n v="76.900000000000006"/>
    <x v="0"/>
    <n v="26.915000000000006"/>
    <n v="565.21500000000003"/>
  </r>
  <r>
    <x v="0"/>
    <s v="416-13-5917"/>
    <x v="1"/>
    <x v="1"/>
    <x v="1"/>
    <x v="3"/>
    <n v="97.03"/>
    <x v="1"/>
    <n v="24.2575"/>
    <n v="509.40749999999997"/>
  </r>
  <r>
    <x v="0"/>
    <s v="135-84-8019"/>
    <x v="0"/>
    <x v="0"/>
    <x v="1"/>
    <x v="4"/>
    <n v="77.930000000000007"/>
    <x v="9"/>
    <n v="35.068500000000007"/>
    <n v="736.43850000000009"/>
  </r>
  <r>
    <x v="0"/>
    <s v="725-96-3778"/>
    <x v="1"/>
    <x v="1"/>
    <x v="0"/>
    <x v="2"/>
    <n v="89.25"/>
    <x v="7"/>
    <n v="35.700000000000003"/>
    <n v="749.7"/>
  </r>
  <r>
    <x v="0"/>
    <s v="400-45-1220"/>
    <x v="2"/>
    <x v="2"/>
    <x v="1"/>
    <x v="0"/>
    <n v="13.5"/>
    <x v="3"/>
    <n v="6.75"/>
    <n v="141.75"/>
  </r>
  <r>
    <x v="0"/>
    <s v="860-79-0874"/>
    <x v="1"/>
    <x v="1"/>
    <x v="0"/>
    <x v="4"/>
    <n v="99.3"/>
    <x v="3"/>
    <n v="49.650000000000006"/>
    <n v="1042.6500000000001"/>
  </r>
  <r>
    <x v="0"/>
    <s v="115-99-4379"/>
    <x v="2"/>
    <x v="2"/>
    <x v="0"/>
    <x v="4"/>
    <n v="54.73"/>
    <x v="0"/>
    <n v="19.1555"/>
    <n v="402.26549999999997"/>
  </r>
  <r>
    <x v="0"/>
    <s v="320-49-6392"/>
    <x v="1"/>
    <x v="1"/>
    <x v="1"/>
    <x v="1"/>
    <n v="30.24"/>
    <x v="8"/>
    <n v="1.512"/>
    <n v="31.751999999999999"/>
  </r>
  <r>
    <x v="0"/>
    <s v="889-04-9723"/>
    <x v="2"/>
    <x v="2"/>
    <x v="0"/>
    <x v="3"/>
    <n v="89.14"/>
    <x v="6"/>
    <n v="17.827999999999999"/>
    <n v="374.38799999999998"/>
  </r>
  <r>
    <x v="0"/>
    <s v="632-90-0281"/>
    <x v="1"/>
    <x v="1"/>
    <x v="1"/>
    <x v="4"/>
    <n v="37.549999999999997"/>
    <x v="3"/>
    <n v="18.775000000000002"/>
    <n v="394.27499999999998"/>
  </r>
  <r>
    <x v="0"/>
    <s v="554-42-2417"/>
    <x v="1"/>
    <x v="1"/>
    <x v="1"/>
    <x v="5"/>
    <n v="95.44"/>
    <x v="3"/>
    <n v="47.72"/>
    <n v="1002.12"/>
  </r>
  <r>
    <x v="0"/>
    <s v="605-72-4132"/>
    <x v="1"/>
    <x v="1"/>
    <x v="1"/>
    <x v="3"/>
    <n v="94.47"/>
    <x v="7"/>
    <n v="37.788000000000004"/>
    <n v="793.548"/>
  </r>
  <r>
    <x v="0"/>
    <s v="272-27-9238"/>
    <x v="1"/>
    <x v="1"/>
    <x v="1"/>
    <x v="3"/>
    <n v="41.24"/>
    <x v="6"/>
    <n v="8.2480000000000011"/>
    <n v="173.208"/>
  </r>
  <r>
    <x v="0"/>
    <s v="834-25-9262"/>
    <x v="1"/>
    <x v="1"/>
    <x v="1"/>
    <x v="4"/>
    <n v="81.680000000000007"/>
    <x v="6"/>
    <n v="16.336000000000002"/>
    <n v="343.05600000000004"/>
  </r>
  <r>
    <x v="0"/>
    <s v="122-61-9553"/>
    <x v="1"/>
    <x v="1"/>
    <x v="1"/>
    <x v="1"/>
    <n v="51.32"/>
    <x v="9"/>
    <n v="23.094000000000001"/>
    <n v="484.97399999999999"/>
  </r>
  <r>
    <x v="0"/>
    <s v="613-59-9758"/>
    <x v="1"/>
    <x v="1"/>
    <x v="1"/>
    <x v="5"/>
    <n v="14.36"/>
    <x v="3"/>
    <n v="7.18"/>
    <n v="150.78"/>
  </r>
  <r>
    <x v="0"/>
    <s v="201-86-2184"/>
    <x v="2"/>
    <x v="2"/>
    <x v="0"/>
    <x v="1"/>
    <n v="26.26"/>
    <x v="0"/>
    <n v="9.1910000000000007"/>
    <n v="193.01100000000002"/>
  </r>
  <r>
    <x v="0"/>
    <s v="261-12-8671"/>
    <x v="2"/>
    <x v="2"/>
    <x v="1"/>
    <x v="4"/>
    <n v="60.96"/>
    <x v="4"/>
    <n v="6.0960000000000001"/>
    <n v="128.01599999999999"/>
  </r>
  <r>
    <x v="0"/>
    <s v="730-70-9830"/>
    <x v="1"/>
    <x v="1"/>
    <x v="1"/>
    <x v="2"/>
    <n v="70.11"/>
    <x v="2"/>
    <n v="21.033000000000001"/>
    <n v="441.69299999999998"/>
  </r>
  <r>
    <x v="0"/>
    <s v="422-29-8786"/>
    <x v="0"/>
    <x v="0"/>
    <x v="1"/>
    <x v="2"/>
    <n v="67.09"/>
    <x v="1"/>
    <n v="16.772500000000004"/>
    <n v="352.22250000000003"/>
  </r>
  <r>
    <x v="0"/>
    <s v="667-23-5919"/>
    <x v="0"/>
    <x v="0"/>
    <x v="0"/>
    <x v="4"/>
    <n v="96.7"/>
    <x v="1"/>
    <n v="24.175000000000001"/>
    <n v="507.67500000000001"/>
  </r>
  <r>
    <x v="0"/>
    <s v="843-01-4703"/>
    <x v="2"/>
    <x v="2"/>
    <x v="0"/>
    <x v="2"/>
    <n v="35.380000000000003"/>
    <x v="9"/>
    <n v="15.921000000000001"/>
    <n v="334.34100000000001"/>
  </r>
  <r>
    <x v="0"/>
    <s v="182-69-8360"/>
    <x v="2"/>
    <x v="2"/>
    <x v="1"/>
    <x v="1"/>
    <n v="23.65"/>
    <x v="6"/>
    <n v="4.7299999999999995"/>
    <n v="99.33"/>
  </r>
  <r>
    <x v="0"/>
    <s v="462-78-5240"/>
    <x v="1"/>
    <x v="1"/>
    <x v="1"/>
    <x v="1"/>
    <n v="26.61"/>
    <x v="4"/>
    <n v="2.661"/>
    <n v="55.881"/>
  </r>
  <r>
    <x v="0"/>
    <s v="868-52-7573"/>
    <x v="2"/>
    <x v="2"/>
    <x v="1"/>
    <x v="3"/>
    <n v="99.69"/>
    <x v="1"/>
    <n v="24.922499999999999"/>
    <n v="523.37249999999995"/>
  </r>
  <r>
    <x v="0"/>
    <s v="153-58-4872"/>
    <x v="1"/>
    <x v="1"/>
    <x v="0"/>
    <x v="3"/>
    <n v="74.89"/>
    <x v="6"/>
    <n v="14.978000000000002"/>
    <n v="314.53800000000001"/>
  </r>
  <r>
    <x v="0"/>
    <s v="662-72-2873"/>
    <x v="0"/>
    <x v="0"/>
    <x v="1"/>
    <x v="3"/>
    <n v="40.94"/>
    <x v="1"/>
    <n v="10.234999999999999"/>
    <n v="214.935"/>
  </r>
  <r>
    <x v="0"/>
    <s v="725-56-0833"/>
    <x v="0"/>
    <x v="0"/>
    <x v="1"/>
    <x v="0"/>
    <n v="32.32"/>
    <x v="3"/>
    <n v="16.16"/>
    <n v="339.36"/>
  </r>
  <r>
    <x v="0"/>
    <s v="394-41-0748"/>
    <x v="1"/>
    <x v="1"/>
    <x v="0"/>
    <x v="4"/>
    <n v="54.07"/>
    <x v="9"/>
    <n v="24.331500000000002"/>
    <n v="510.9615"/>
  </r>
  <r>
    <x v="0"/>
    <s v="541-89-9860"/>
    <x v="1"/>
    <x v="1"/>
    <x v="0"/>
    <x v="4"/>
    <n v="80.48"/>
    <x v="5"/>
    <n v="12.072000000000001"/>
    <n v="253.512"/>
  </r>
  <r>
    <x v="0"/>
    <s v="173-82-9529"/>
    <x v="2"/>
    <x v="2"/>
    <x v="1"/>
    <x v="4"/>
    <n v="37.950000000000003"/>
    <x v="3"/>
    <n v="18.975000000000001"/>
    <n v="398.47500000000002"/>
  </r>
  <r>
    <x v="0"/>
    <s v="308-47-4913"/>
    <x v="0"/>
    <x v="0"/>
    <x v="0"/>
    <x v="5"/>
    <n v="52.26"/>
    <x v="3"/>
    <n v="26.130000000000003"/>
    <n v="548.73"/>
  </r>
  <r>
    <x v="0"/>
    <s v="885-17-6250"/>
    <x v="0"/>
    <x v="0"/>
    <x v="1"/>
    <x v="0"/>
    <n v="79.739999999999995"/>
    <x v="8"/>
    <n v="3.9870000000000001"/>
    <n v="83.72699999999999"/>
  </r>
  <r>
    <x v="0"/>
    <s v="726-27-2396"/>
    <x v="0"/>
    <x v="0"/>
    <x v="1"/>
    <x v="0"/>
    <n v="77.5"/>
    <x v="1"/>
    <n v="19.375"/>
    <n v="406.875"/>
  </r>
  <r>
    <x v="0"/>
    <s v="316-01-3952"/>
    <x v="0"/>
    <x v="0"/>
    <x v="1"/>
    <x v="3"/>
    <n v="54.27"/>
    <x v="1"/>
    <n v="13.567500000000003"/>
    <n v="284.91750000000002"/>
  </r>
  <r>
    <x v="0"/>
    <s v="793-10-3222"/>
    <x v="2"/>
    <x v="2"/>
    <x v="0"/>
    <x v="0"/>
    <n v="41.06"/>
    <x v="2"/>
    <n v="12.318000000000001"/>
    <n v="258.678"/>
  </r>
  <r>
    <x v="0"/>
    <s v="110-05-6330"/>
    <x v="1"/>
    <x v="1"/>
    <x v="1"/>
    <x v="3"/>
    <n v="39.43"/>
    <x v="2"/>
    <n v="11.829000000000001"/>
    <n v="248.40899999999999"/>
  </r>
  <r>
    <x v="0"/>
    <s v="831-64-0259"/>
    <x v="2"/>
    <x v="2"/>
    <x v="1"/>
    <x v="4"/>
    <n v="39.75"/>
    <x v="1"/>
    <n v="9.9375"/>
    <n v="208.6875"/>
  </r>
  <r>
    <x v="0"/>
    <s v="587-03-7455"/>
    <x v="1"/>
    <x v="1"/>
    <x v="0"/>
    <x v="4"/>
    <n v="97.79"/>
    <x v="0"/>
    <n v="34.226500000000009"/>
    <n v="718.75650000000007"/>
  </r>
  <r>
    <x v="0"/>
    <s v="725-32-9708"/>
    <x v="2"/>
    <x v="2"/>
    <x v="0"/>
    <x v="4"/>
    <n v="68.709999999999994"/>
    <x v="6"/>
    <n v="13.741999999999999"/>
    <n v="288.58199999999999"/>
  </r>
  <r>
    <x v="0"/>
    <s v="256-08-8343"/>
    <x v="0"/>
    <x v="0"/>
    <x v="1"/>
    <x v="2"/>
    <n v="56.53"/>
    <x v="6"/>
    <n v="11.306000000000001"/>
    <n v="237.42600000000002"/>
  </r>
  <r>
    <x v="0"/>
    <s v="372-26-1506"/>
    <x v="1"/>
    <x v="1"/>
    <x v="1"/>
    <x v="4"/>
    <n v="23.82"/>
    <x v="1"/>
    <n v="5.9550000000000001"/>
    <n v="125.05499999999999"/>
  </r>
  <r>
    <x v="0"/>
    <s v="244-08-0162"/>
    <x v="2"/>
    <x v="2"/>
    <x v="1"/>
    <x v="0"/>
    <n v="34.21"/>
    <x v="3"/>
    <n v="17.105"/>
    <n v="359.20500000000004"/>
  </r>
  <r>
    <x v="0"/>
    <s v="750-57-9686"/>
    <x v="1"/>
    <x v="1"/>
    <x v="1"/>
    <x v="2"/>
    <n v="45.38"/>
    <x v="6"/>
    <n v="9.0760000000000005"/>
    <n v="190.596"/>
  </r>
  <r>
    <x v="0"/>
    <s v="186-09-3669"/>
    <x v="1"/>
    <x v="1"/>
    <x v="0"/>
    <x v="0"/>
    <n v="81.510000000000005"/>
    <x v="8"/>
    <n v="4.0755000000000008"/>
    <n v="85.58550000000001"/>
  </r>
  <r>
    <x v="0"/>
    <s v="848-07-1692"/>
    <x v="2"/>
    <x v="2"/>
    <x v="1"/>
    <x v="0"/>
    <n v="57.22"/>
    <x v="4"/>
    <n v="5.7220000000000004"/>
    <n v="120.16199999999999"/>
  </r>
  <r>
    <x v="0"/>
    <s v="745-71-3520"/>
    <x v="0"/>
    <x v="0"/>
    <x v="0"/>
    <x v="1"/>
    <n v="25.22"/>
    <x v="0"/>
    <n v="8.827"/>
    <n v="185.36699999999999"/>
  </r>
  <r>
    <x v="0"/>
    <s v="266-76-6436"/>
    <x v="1"/>
    <x v="1"/>
    <x v="0"/>
    <x v="3"/>
    <n v="38.6"/>
    <x v="5"/>
    <n v="5.7900000000000009"/>
    <n v="121.59000000000002"/>
  </r>
  <r>
    <x v="0"/>
    <s v="740-22-2500"/>
    <x v="1"/>
    <x v="1"/>
    <x v="1"/>
    <x v="1"/>
    <n v="84.05"/>
    <x v="5"/>
    <n v="12.6075"/>
    <n v="264.75749999999999"/>
  </r>
  <r>
    <x v="0"/>
    <s v="271-88-8734"/>
    <x v="1"/>
    <x v="1"/>
    <x v="0"/>
    <x v="4"/>
    <n v="97.21"/>
    <x v="3"/>
    <n v="48.604999999999997"/>
    <n v="1020.7049999999999"/>
  </r>
  <r>
    <x v="0"/>
    <s v="650-98-6268"/>
    <x v="2"/>
    <x v="2"/>
    <x v="0"/>
    <x v="3"/>
    <n v="20.87"/>
    <x v="5"/>
    <n v="3.1305000000000001"/>
    <n v="65.740499999999997"/>
  </r>
  <r>
    <x v="0"/>
    <s v="325-77-6186"/>
    <x v="0"/>
    <x v="0"/>
    <x v="0"/>
    <x v="2"/>
    <n v="90.65"/>
    <x v="3"/>
    <n v="45.325000000000003"/>
    <n v="951.82500000000005"/>
  </r>
  <r>
    <x v="0"/>
    <s v="459-50-7686"/>
    <x v="0"/>
    <x v="0"/>
    <x v="1"/>
    <x v="1"/>
    <n v="23.46"/>
    <x v="2"/>
    <n v="7.0380000000000003"/>
    <n v="147.798"/>
  </r>
  <r>
    <x v="0"/>
    <s v="837-55-7229"/>
    <x v="2"/>
    <x v="2"/>
    <x v="1"/>
    <x v="4"/>
    <n v="47.44"/>
    <x v="8"/>
    <n v="2.3719999999999999"/>
    <n v="49.811999999999998"/>
  </r>
  <r>
    <x v="0"/>
    <s v="810-60-6344"/>
    <x v="1"/>
    <x v="1"/>
    <x v="1"/>
    <x v="1"/>
    <n v="40.86"/>
    <x v="7"/>
    <n v="16.344000000000001"/>
    <n v="343.22399999999999"/>
  </r>
  <r>
    <x v="0"/>
    <s v="394-30-3170"/>
    <x v="2"/>
    <x v="2"/>
    <x v="0"/>
    <x v="5"/>
    <n v="88.43"/>
    <x v="7"/>
    <n v="35.372000000000007"/>
    <n v="742.81200000000001"/>
  </r>
  <r>
    <x v="0"/>
    <s v="138-17-5109"/>
    <x v="0"/>
    <x v="0"/>
    <x v="0"/>
    <x v="2"/>
    <n v="89.21"/>
    <x v="9"/>
    <n v="40.144500000000001"/>
    <n v="843.03449999999998"/>
  </r>
  <r>
    <x v="0"/>
    <s v="301-11-9629"/>
    <x v="0"/>
    <x v="0"/>
    <x v="1"/>
    <x v="5"/>
    <n v="19.100000000000001"/>
    <x v="0"/>
    <n v="6.6850000000000014"/>
    <n v="140.38500000000002"/>
  </r>
  <r>
    <x v="0"/>
    <s v="390-80-5128"/>
    <x v="2"/>
    <x v="2"/>
    <x v="0"/>
    <x v="0"/>
    <n v="19.149999999999999"/>
    <x v="8"/>
    <n v="0.95750000000000002"/>
    <n v="20.107499999999998"/>
  </r>
  <r>
    <x v="0"/>
    <s v="296-11-7041"/>
    <x v="2"/>
    <x v="2"/>
    <x v="0"/>
    <x v="0"/>
    <n v="27.07"/>
    <x v="8"/>
    <n v="1.3535000000000001"/>
    <n v="28.423500000000001"/>
  </r>
  <r>
    <x v="0"/>
    <s v="449-27-2918"/>
    <x v="2"/>
    <x v="2"/>
    <x v="0"/>
    <x v="5"/>
    <n v="39.119999999999997"/>
    <x v="8"/>
    <n v="1.956"/>
    <n v="41.076000000000001"/>
  </r>
  <r>
    <x v="0"/>
    <s v="891-01-7034"/>
    <x v="2"/>
    <x v="2"/>
    <x v="1"/>
    <x v="1"/>
    <n v="74.709999999999994"/>
    <x v="2"/>
    <n v="22.413"/>
    <n v="470.673"/>
  </r>
  <r>
    <x v="0"/>
    <s v="727-17-0390"/>
    <x v="0"/>
    <x v="0"/>
    <x v="1"/>
    <x v="3"/>
    <n v="63.61"/>
    <x v="1"/>
    <n v="15.902500000000002"/>
    <n v="333.95249999999999"/>
  </r>
  <r>
    <x v="0"/>
    <s v="767-54-1907"/>
    <x v="2"/>
    <x v="2"/>
    <x v="0"/>
    <x v="4"/>
    <n v="29.56"/>
    <x v="1"/>
    <n v="7.39"/>
    <n v="155.18999999999997"/>
  </r>
  <r>
    <x v="0"/>
    <s v="710-46-4433"/>
    <x v="2"/>
    <x v="2"/>
    <x v="0"/>
    <x v="3"/>
    <n v="77.400000000000006"/>
    <x v="9"/>
    <n v="34.830000000000005"/>
    <n v="731.43000000000006"/>
  </r>
  <r>
    <x v="0"/>
    <s v="325-90-8763"/>
    <x v="1"/>
    <x v="1"/>
    <x v="0"/>
    <x v="1"/>
    <n v="46.57"/>
    <x v="3"/>
    <n v="23.285"/>
    <n v="488.98500000000001"/>
  </r>
  <r>
    <x v="0"/>
    <s v="234-03-4040"/>
    <x v="2"/>
    <x v="2"/>
    <x v="0"/>
    <x v="3"/>
    <n v="73.05"/>
    <x v="3"/>
    <n v="36.524999999999999"/>
    <n v="767.02499999999998"/>
  </r>
  <r>
    <x v="0"/>
    <s v="326-71-2155"/>
    <x v="1"/>
    <x v="1"/>
    <x v="1"/>
    <x v="5"/>
    <n v="73.95"/>
    <x v="6"/>
    <n v="14.790000000000001"/>
    <n v="310.59000000000003"/>
  </r>
  <r>
    <x v="0"/>
    <s v="320-32-8842"/>
    <x v="1"/>
    <x v="1"/>
    <x v="0"/>
    <x v="3"/>
    <n v="22.62"/>
    <x v="8"/>
    <n v="1.131"/>
    <n v="23.751000000000001"/>
  </r>
  <r>
    <x v="0"/>
    <s v="878-30-2331"/>
    <x v="1"/>
    <x v="1"/>
    <x v="0"/>
    <x v="5"/>
    <n v="54.55"/>
    <x v="3"/>
    <n v="27.275000000000002"/>
    <n v="572.77499999999998"/>
  </r>
  <r>
    <x v="0"/>
    <s v="440-59-5691"/>
    <x v="1"/>
    <x v="1"/>
    <x v="0"/>
    <x v="0"/>
    <n v="37.15"/>
    <x v="0"/>
    <n v="13.002500000000001"/>
    <n v="273.05250000000001"/>
  </r>
  <r>
    <x v="0"/>
    <s v="233-34-0817"/>
    <x v="1"/>
    <x v="1"/>
    <x v="0"/>
    <x v="1"/>
    <n v="98.84"/>
    <x v="8"/>
    <n v="4.9420000000000002"/>
    <n v="103.78200000000001"/>
  </r>
  <r>
    <x v="0"/>
    <s v="767-05-1286"/>
    <x v="1"/>
    <x v="1"/>
    <x v="0"/>
    <x v="2"/>
    <n v="83.77"/>
    <x v="2"/>
    <n v="25.131"/>
    <n v="527.75099999999998"/>
  </r>
  <r>
    <x v="0"/>
    <s v="340-21-9136"/>
    <x v="0"/>
    <x v="0"/>
    <x v="0"/>
    <x v="5"/>
    <n v="40.049999999999997"/>
    <x v="6"/>
    <n v="8.01"/>
    <n v="168.20999999999998"/>
  </r>
  <r>
    <x v="0"/>
    <s v="676-39-6028"/>
    <x v="0"/>
    <x v="0"/>
    <x v="0"/>
    <x v="1"/>
    <n v="64.44"/>
    <x v="1"/>
    <n v="16.11"/>
    <n v="338.31"/>
  </r>
  <r>
    <x v="0"/>
    <s v="485-30-8700"/>
    <x v="0"/>
    <x v="0"/>
    <x v="1"/>
    <x v="5"/>
    <n v="33.26"/>
    <x v="1"/>
    <n v="8.3149999999999995"/>
    <n v="174.61499999999998"/>
  </r>
  <r>
    <x v="0"/>
    <s v="246-11-3901"/>
    <x v="1"/>
    <x v="1"/>
    <x v="1"/>
    <x v="1"/>
    <n v="32.799999999999997"/>
    <x v="3"/>
    <n v="16.400000000000002"/>
    <n v="344.4"/>
  </r>
  <r>
    <x v="0"/>
    <s v="493-65-6248"/>
    <x v="1"/>
    <x v="1"/>
    <x v="0"/>
    <x v="5"/>
    <n v="36.979999999999997"/>
    <x v="3"/>
    <n v="18.489999999999998"/>
    <n v="388.28999999999996"/>
  </r>
  <r>
    <x v="0"/>
    <s v="438-01-4015"/>
    <x v="2"/>
    <x v="2"/>
    <x v="0"/>
    <x v="5"/>
    <n v="49.49"/>
    <x v="6"/>
    <n v="9.8980000000000015"/>
    <n v="207.858"/>
  </r>
  <r>
    <x v="0"/>
    <s v="709-58-4068"/>
    <x v="2"/>
    <x v="2"/>
    <x v="1"/>
    <x v="4"/>
    <n v="41.09"/>
    <x v="3"/>
    <n v="20.545000000000002"/>
    <n v="431.44500000000005"/>
  </r>
  <r>
    <x v="0"/>
    <s v="627-95-3243"/>
    <x v="2"/>
    <x v="2"/>
    <x v="0"/>
    <x v="2"/>
    <n v="77.680000000000007"/>
    <x v="9"/>
    <n v="34.95600000000001"/>
    <n v="734.07600000000014"/>
  </r>
  <r>
    <x v="0"/>
    <s v="686-41-0932"/>
    <x v="2"/>
    <x v="2"/>
    <x v="1"/>
    <x v="4"/>
    <n v="34.700000000000003"/>
    <x v="4"/>
    <n v="3.4700000000000006"/>
    <n v="72.87"/>
  </r>
  <r>
    <x v="0"/>
    <s v="510-09-5628"/>
    <x v="0"/>
    <x v="0"/>
    <x v="0"/>
    <x v="4"/>
    <n v="19.66"/>
    <x v="3"/>
    <n v="9.83"/>
    <n v="206.43"/>
  </r>
  <r>
    <x v="0"/>
    <s v="608-04-3797"/>
    <x v="2"/>
    <x v="2"/>
    <x v="0"/>
    <x v="0"/>
    <n v="25.32"/>
    <x v="7"/>
    <n v="10.128"/>
    <n v="212.68799999999999"/>
  </r>
  <r>
    <x v="0"/>
    <s v="148-82-2527"/>
    <x v="1"/>
    <x v="1"/>
    <x v="0"/>
    <x v="2"/>
    <n v="12.12"/>
    <x v="3"/>
    <n v="6.06"/>
    <n v="127.25999999999999"/>
  </r>
  <r>
    <x v="0"/>
    <s v="556-97-7101"/>
    <x v="1"/>
    <x v="1"/>
    <x v="1"/>
    <x v="1"/>
    <n v="63.22"/>
    <x v="4"/>
    <n v="6.3220000000000001"/>
    <n v="132.762"/>
  </r>
  <r>
    <x v="0"/>
    <s v="862-59-8517"/>
    <x v="1"/>
    <x v="1"/>
    <x v="1"/>
    <x v="3"/>
    <n v="90.24"/>
    <x v="2"/>
    <n v="27.071999999999999"/>
    <n v="568.51199999999994"/>
  </r>
  <r>
    <x v="0"/>
    <s v="401-18-8016"/>
    <x v="2"/>
    <x v="2"/>
    <x v="0"/>
    <x v="5"/>
    <n v="98.13"/>
    <x v="8"/>
    <n v="4.9065000000000003"/>
    <n v="103.03649999999999"/>
  </r>
  <r>
    <x v="0"/>
    <s v="420-18-8989"/>
    <x v="0"/>
    <x v="0"/>
    <x v="0"/>
    <x v="5"/>
    <n v="51.52"/>
    <x v="7"/>
    <n v="20.608000000000004"/>
    <n v="432.76800000000003"/>
  </r>
  <r>
    <x v="0"/>
    <s v="573-98-8548"/>
    <x v="1"/>
    <x v="1"/>
    <x v="0"/>
    <x v="4"/>
    <n v="31.9"/>
    <x v="8"/>
    <n v="1.595"/>
    <n v="33.494999999999997"/>
  </r>
  <r>
    <x v="0"/>
    <s v="282-35-2475"/>
    <x v="2"/>
    <x v="2"/>
    <x v="1"/>
    <x v="5"/>
    <n v="93.31"/>
    <x v="4"/>
    <n v="9.3310000000000013"/>
    <n v="195.95099999999999"/>
  </r>
  <r>
    <x v="0"/>
    <s v="387-49-4215"/>
    <x v="2"/>
    <x v="2"/>
    <x v="0"/>
    <x v="5"/>
    <n v="48.5"/>
    <x v="5"/>
    <n v="7.2750000000000004"/>
    <n v="152.77500000000001"/>
  </r>
  <r>
    <x v="0"/>
    <s v="862-17-9201"/>
    <x v="2"/>
    <x v="2"/>
    <x v="1"/>
    <x v="3"/>
    <n v="84.05"/>
    <x v="2"/>
    <n v="25.215"/>
    <n v="529.51499999999999"/>
  </r>
  <r>
    <x v="0"/>
    <s v="602-80-9671"/>
    <x v="1"/>
    <x v="1"/>
    <x v="0"/>
    <x v="2"/>
    <n v="15.95"/>
    <x v="2"/>
    <n v="4.7849999999999993"/>
    <n v="100.48499999999999"/>
  </r>
  <r>
    <x v="0"/>
    <s v="347-72-6115"/>
    <x v="2"/>
    <x v="2"/>
    <x v="0"/>
    <x v="5"/>
    <n v="90.74"/>
    <x v="0"/>
    <n v="31.759"/>
    <n v="666.93899999999996"/>
  </r>
  <r>
    <x v="0"/>
    <s v="209-61-0206"/>
    <x v="0"/>
    <x v="0"/>
    <x v="1"/>
    <x v="2"/>
    <n v="42.91"/>
    <x v="1"/>
    <n v="10.727499999999999"/>
    <n v="225.27749999999997"/>
  </r>
  <r>
    <x v="0"/>
    <s v="595-27-4851"/>
    <x v="0"/>
    <x v="0"/>
    <x v="1"/>
    <x v="4"/>
    <n v="54.28"/>
    <x v="0"/>
    <n v="18.998000000000001"/>
    <n v="398.95800000000003"/>
  </r>
  <r>
    <x v="0"/>
    <s v="413-20-6708"/>
    <x v="1"/>
    <x v="1"/>
    <x v="0"/>
    <x v="4"/>
    <n v="51.47"/>
    <x v="8"/>
    <n v="2.5735000000000001"/>
    <n v="54.043500000000002"/>
  </r>
  <r>
    <x v="0"/>
    <s v="734-91-1155"/>
    <x v="2"/>
    <x v="2"/>
    <x v="1"/>
    <x v="1"/>
    <n v="45.71"/>
    <x v="5"/>
    <n v="6.8565000000000005"/>
    <n v="143.98650000000001"/>
  </r>
  <r>
    <x v="0"/>
    <s v="451-28-5717"/>
    <x v="1"/>
    <x v="1"/>
    <x v="0"/>
    <x v="2"/>
    <n v="83.17"/>
    <x v="2"/>
    <n v="24.951000000000001"/>
    <n v="523.971"/>
  </r>
  <r>
    <x v="0"/>
    <s v="609-81-8548"/>
    <x v="0"/>
    <x v="0"/>
    <x v="0"/>
    <x v="2"/>
    <n v="37.44"/>
    <x v="2"/>
    <n v="11.231999999999999"/>
    <n v="235.87199999999999"/>
  </r>
  <r>
    <x v="0"/>
    <s v="719-89-8991"/>
    <x v="0"/>
    <x v="0"/>
    <x v="0"/>
    <x v="5"/>
    <n v="91.41"/>
    <x v="1"/>
    <n v="22.852499999999999"/>
    <n v="479.90249999999997"/>
  </r>
  <r>
    <x v="0"/>
    <s v="827-44-5872"/>
    <x v="2"/>
    <x v="2"/>
    <x v="0"/>
    <x v="3"/>
    <n v="54.36"/>
    <x v="3"/>
    <n v="27.180000000000003"/>
    <n v="570.78"/>
  </r>
  <r>
    <x v="0"/>
    <s v="236-27-1144"/>
    <x v="1"/>
    <x v="1"/>
    <x v="1"/>
    <x v="3"/>
    <n v="16.309999999999999"/>
    <x v="9"/>
    <n v="7.3395000000000001"/>
    <n v="154.12949999999998"/>
  </r>
  <r>
    <x v="0"/>
    <s v="892-05-6689"/>
    <x v="0"/>
    <x v="0"/>
    <x v="1"/>
    <x v="2"/>
    <n v="28.32"/>
    <x v="1"/>
    <n v="7.08"/>
    <n v="148.68"/>
  </r>
  <r>
    <x v="0"/>
    <s v="339-12-4827"/>
    <x v="2"/>
    <x v="2"/>
    <x v="0"/>
    <x v="4"/>
    <n v="73.959999999999994"/>
    <x v="8"/>
    <n v="3.698"/>
    <n v="77.657999999999987"/>
  </r>
  <r>
    <x v="0"/>
    <s v="308-81-0538"/>
    <x v="0"/>
    <x v="0"/>
    <x v="1"/>
    <x v="4"/>
    <n v="73.05"/>
    <x v="6"/>
    <n v="14.61"/>
    <n v="306.81"/>
  </r>
  <r>
    <x v="0"/>
    <s v="358-88-9262"/>
    <x v="1"/>
    <x v="1"/>
    <x v="0"/>
    <x v="3"/>
    <n v="87.48"/>
    <x v="2"/>
    <n v="26.244"/>
    <n v="551.12400000000002"/>
  </r>
  <r>
    <x v="0"/>
    <s v="173-50-1108"/>
    <x v="2"/>
    <x v="2"/>
    <x v="0"/>
    <x v="5"/>
    <n v="20.18"/>
    <x v="6"/>
    <n v="4.0360000000000005"/>
    <n v="84.756"/>
  </r>
  <r>
    <x v="0"/>
    <s v="841-18-8232"/>
    <x v="2"/>
    <x v="2"/>
    <x v="1"/>
    <x v="3"/>
    <n v="71.2"/>
    <x v="8"/>
    <n v="3.5600000000000005"/>
    <n v="74.760000000000005"/>
  </r>
  <r>
    <x v="0"/>
    <s v="647-50-1224"/>
    <x v="0"/>
    <x v="0"/>
    <x v="1"/>
    <x v="4"/>
    <n v="29.42"/>
    <x v="3"/>
    <n v="14.710000000000003"/>
    <n v="308.91000000000003"/>
  </r>
  <r>
    <x v="0"/>
    <s v="539-21-7227"/>
    <x v="2"/>
    <x v="2"/>
    <x v="1"/>
    <x v="5"/>
    <n v="51.54"/>
    <x v="1"/>
    <n v="12.885"/>
    <n v="270.58499999999998"/>
  </r>
  <r>
    <x v="0"/>
    <s v="213-32-1216"/>
    <x v="0"/>
    <x v="0"/>
    <x v="1"/>
    <x v="1"/>
    <n v="66.06"/>
    <x v="2"/>
    <n v="19.818000000000001"/>
    <n v="416.178"/>
  </r>
  <r>
    <x v="0"/>
    <s v="582-52-8065"/>
    <x v="2"/>
    <x v="2"/>
    <x v="1"/>
    <x v="4"/>
    <n v="54.31"/>
    <x v="9"/>
    <n v="24.439500000000002"/>
    <n v="513.22950000000003"/>
  </r>
  <r>
    <x v="0"/>
    <s v="210-57-1719"/>
    <x v="2"/>
    <x v="2"/>
    <x v="1"/>
    <x v="0"/>
    <n v="58.24"/>
    <x v="9"/>
    <n v="26.207999999999998"/>
    <n v="550.36799999999994"/>
  </r>
  <r>
    <x v="0"/>
    <s v="198-66-9832"/>
    <x v="2"/>
    <x v="2"/>
    <x v="0"/>
    <x v="4"/>
    <n v="72.040000000000006"/>
    <x v="4"/>
    <n v="7.2040000000000006"/>
    <n v="151.28400000000002"/>
  </r>
  <r>
    <x v="0"/>
    <s v="283-26-5248"/>
    <x v="1"/>
    <x v="1"/>
    <x v="0"/>
    <x v="3"/>
    <n v="98.52"/>
    <x v="3"/>
    <n v="49.26"/>
    <n v="1034.46"/>
  </r>
  <r>
    <x v="0"/>
    <s v="218-59-9410"/>
    <x v="0"/>
    <x v="0"/>
    <x v="0"/>
    <x v="2"/>
    <n v="72.42"/>
    <x v="5"/>
    <n v="10.863"/>
    <n v="228.12299999999999"/>
  </r>
  <r>
    <x v="0"/>
    <s v="134-54-4720"/>
    <x v="2"/>
    <x v="2"/>
    <x v="1"/>
    <x v="1"/>
    <n v="42.42"/>
    <x v="7"/>
    <n v="16.968"/>
    <n v="356.32800000000003"/>
  </r>
  <r>
    <x v="0"/>
    <s v="698-98-5964"/>
    <x v="0"/>
    <x v="0"/>
    <x v="1"/>
    <x v="3"/>
    <n v="81.209999999999994"/>
    <x v="3"/>
    <n v="40.604999999999997"/>
    <n v="852.70499999999993"/>
  </r>
  <r>
    <x v="0"/>
    <s v="718-57-9773"/>
    <x v="1"/>
    <x v="1"/>
    <x v="1"/>
    <x v="5"/>
    <n v="49.33"/>
    <x v="3"/>
    <n v="24.664999999999999"/>
    <n v="517.96499999999992"/>
  </r>
  <r>
    <x v="0"/>
    <s v="651-88-7328"/>
    <x v="0"/>
    <x v="0"/>
    <x v="1"/>
    <x v="4"/>
    <n v="65.739999999999995"/>
    <x v="9"/>
    <n v="29.582999999999998"/>
    <n v="621.24299999999994"/>
  </r>
  <r>
    <x v="0"/>
    <s v="241-11-2261"/>
    <x v="2"/>
    <x v="2"/>
    <x v="1"/>
    <x v="4"/>
    <n v="79.86"/>
    <x v="0"/>
    <n v="27.951000000000001"/>
    <n v="586.971"/>
  </r>
  <r>
    <x v="0"/>
    <s v="408-26-9866"/>
    <x v="1"/>
    <x v="1"/>
    <x v="1"/>
    <x v="5"/>
    <n v="73.98"/>
    <x v="0"/>
    <n v="25.893000000000001"/>
    <n v="543.75300000000004"/>
  </r>
  <r>
    <x v="0"/>
    <s v="834-83-1826"/>
    <x v="2"/>
    <x v="2"/>
    <x v="0"/>
    <x v="2"/>
    <n v="82.04"/>
    <x v="1"/>
    <n v="20.510000000000005"/>
    <n v="430.71000000000004"/>
  </r>
  <r>
    <x v="0"/>
    <s v="797-88-0493"/>
    <x v="0"/>
    <x v="0"/>
    <x v="1"/>
    <x v="0"/>
    <n v="64.27"/>
    <x v="6"/>
    <n v="12.853999999999999"/>
    <n v="269.93399999999997"/>
  </r>
  <r>
    <x v="0"/>
    <s v="443-82-0585"/>
    <x v="0"/>
    <x v="0"/>
    <x v="0"/>
    <x v="0"/>
    <n v="77.680000000000007"/>
    <x v="6"/>
    <n v="15.536000000000001"/>
    <n v="326.25600000000003"/>
  </r>
  <r>
    <x v="0"/>
    <s v="339-18-7061"/>
    <x v="1"/>
    <x v="1"/>
    <x v="0"/>
    <x v="4"/>
    <n v="92.98"/>
    <x v="4"/>
    <n v="9.298"/>
    <n v="195.25800000000001"/>
  </r>
  <r>
    <x v="0"/>
    <s v="359-90-3665"/>
    <x v="2"/>
    <x v="2"/>
    <x v="0"/>
    <x v="4"/>
    <n v="18.079999999999998"/>
    <x v="6"/>
    <n v="3.6159999999999997"/>
    <n v="75.935999999999993"/>
  </r>
  <r>
    <x v="0"/>
    <s v="278-86-2735"/>
    <x v="0"/>
    <x v="0"/>
    <x v="1"/>
    <x v="3"/>
    <n v="52.34"/>
    <x v="5"/>
    <n v="7.8510000000000009"/>
    <n v="164.87100000000001"/>
  </r>
  <r>
    <x v="0"/>
    <s v="695-28-6250"/>
    <x v="0"/>
    <x v="0"/>
    <x v="1"/>
    <x v="5"/>
    <n v="43.06"/>
    <x v="1"/>
    <n v="10.765000000000001"/>
    <n v="226.065"/>
  </r>
  <r>
    <x v="0"/>
    <s v="788-07-8452"/>
    <x v="1"/>
    <x v="1"/>
    <x v="0"/>
    <x v="2"/>
    <n v="24.24"/>
    <x v="0"/>
    <n v="8.484"/>
    <n v="178.16399999999999"/>
  </r>
  <r>
    <x v="0"/>
    <s v="560-49-6611"/>
    <x v="0"/>
    <x v="0"/>
    <x v="0"/>
    <x v="5"/>
    <n v="45.58"/>
    <x v="8"/>
    <n v="2.2789999999999999"/>
    <n v="47.858999999999995"/>
  </r>
  <r>
    <x v="0"/>
    <s v="880-35-0356"/>
    <x v="0"/>
    <x v="0"/>
    <x v="0"/>
    <x v="5"/>
    <n v="75.2"/>
    <x v="5"/>
    <n v="11.280000000000001"/>
    <n v="236.88000000000002"/>
  </r>
  <r>
    <x v="0"/>
    <s v="123-35-4896"/>
    <x v="1"/>
    <x v="1"/>
    <x v="1"/>
    <x v="5"/>
    <n v="46.66"/>
    <x v="9"/>
    <n v="20.997"/>
    <n v="440.93699999999995"/>
  </r>
  <r>
    <x v="0"/>
    <s v="258-69-7810"/>
    <x v="1"/>
    <x v="1"/>
    <x v="1"/>
    <x v="4"/>
    <n v="36.85"/>
    <x v="1"/>
    <n v="9.2125000000000004"/>
    <n v="193.46250000000001"/>
  </r>
  <r>
    <x v="0"/>
    <s v="334-64-2006"/>
    <x v="0"/>
    <x v="0"/>
    <x v="0"/>
    <x v="2"/>
    <n v="70.319999999999993"/>
    <x v="4"/>
    <n v="7.032"/>
    <n v="147.672"/>
  </r>
  <r>
    <x v="0"/>
    <s v="881-41-7302"/>
    <x v="1"/>
    <x v="1"/>
    <x v="1"/>
    <x v="4"/>
    <n v="64.989999999999995"/>
    <x v="8"/>
    <n v="3.2494999999999998"/>
    <n v="68.239499999999992"/>
  </r>
  <r>
    <x v="0"/>
    <s v="642-30-6693"/>
    <x v="2"/>
    <x v="2"/>
    <x v="1"/>
    <x v="5"/>
    <n v="54.51"/>
    <x v="2"/>
    <n v="16.353000000000002"/>
    <n v="343.41300000000001"/>
  </r>
  <r>
    <x v="0"/>
    <s v="484-22-8230"/>
    <x v="1"/>
    <x v="1"/>
    <x v="0"/>
    <x v="4"/>
    <n v="51.89"/>
    <x v="0"/>
    <n v="18.1615"/>
    <n v="381.39150000000001"/>
  </r>
  <r>
    <x v="0"/>
    <s v="559-98-9873"/>
    <x v="0"/>
    <x v="0"/>
    <x v="0"/>
    <x v="4"/>
    <n v="53.65"/>
    <x v="0"/>
    <n v="18.7775"/>
    <n v="394.32749999999999"/>
  </r>
  <r>
    <x v="0"/>
    <s v="544-32-5024"/>
    <x v="1"/>
    <x v="1"/>
    <x v="0"/>
    <x v="3"/>
    <n v="49.79"/>
    <x v="6"/>
    <n v="9.9580000000000002"/>
    <n v="209.11799999999999"/>
  </r>
  <r>
    <x v="0"/>
    <s v="421-95-9805"/>
    <x v="0"/>
    <x v="0"/>
    <x v="1"/>
    <x v="1"/>
    <n v="28.96"/>
    <x v="8"/>
    <n v="1.4480000000000002"/>
    <n v="30.408000000000001"/>
  </r>
  <r>
    <x v="0"/>
    <s v="277-35-5865"/>
    <x v="1"/>
    <x v="1"/>
    <x v="0"/>
    <x v="3"/>
    <n v="98.97"/>
    <x v="9"/>
    <n v="44.536500000000004"/>
    <n v="935.26650000000006"/>
  </r>
  <r>
    <x v="0"/>
    <s v="509-29-3912"/>
    <x v="0"/>
    <x v="0"/>
    <x v="0"/>
    <x v="5"/>
    <n v="38.72"/>
    <x v="9"/>
    <n v="17.424000000000003"/>
    <n v="365.904"/>
  </r>
  <r>
    <x v="0"/>
    <s v="641-96-3695"/>
    <x v="1"/>
    <x v="1"/>
    <x v="0"/>
    <x v="4"/>
    <n v="43.46"/>
    <x v="2"/>
    <n v="13.038"/>
    <n v="273.798"/>
  </r>
  <r>
    <x v="0"/>
    <s v="420-97-3340"/>
    <x v="0"/>
    <x v="0"/>
    <x v="1"/>
    <x v="3"/>
    <n v="71.680000000000007"/>
    <x v="5"/>
    <n v="10.752000000000002"/>
    <n v="225.79200000000003"/>
  </r>
  <r>
    <x v="0"/>
    <s v="436-54-4512"/>
    <x v="0"/>
    <x v="0"/>
    <x v="0"/>
    <x v="3"/>
    <n v="91.61"/>
    <x v="8"/>
    <n v="4.5804999999999998"/>
    <n v="96.1905"/>
  </r>
  <r>
    <x v="0"/>
    <s v="670-79-6321"/>
    <x v="2"/>
    <x v="2"/>
    <x v="0"/>
    <x v="2"/>
    <n v="94.59"/>
    <x v="0"/>
    <n v="33.106500000000004"/>
    <n v="695.23649999999998"/>
  </r>
  <r>
    <x v="0"/>
    <s v="852-62-7105"/>
    <x v="2"/>
    <x v="2"/>
    <x v="1"/>
    <x v="4"/>
    <n v="83.25"/>
    <x v="3"/>
    <n v="41.625"/>
    <n v="874.125"/>
  </r>
  <r>
    <x v="0"/>
    <s v="135-13-8269"/>
    <x v="2"/>
    <x v="2"/>
    <x v="0"/>
    <x v="3"/>
    <n v="78.88"/>
    <x v="4"/>
    <n v="7.8879999999999999"/>
    <n v="165.648"/>
  </r>
  <r>
    <x v="0"/>
    <s v="308-39-1707"/>
    <x v="0"/>
    <x v="0"/>
    <x v="1"/>
    <x v="4"/>
    <n v="12.09"/>
    <x v="8"/>
    <n v="0.60450000000000004"/>
    <n v="12.6945"/>
  </r>
  <r>
    <x v="0"/>
    <s v="318-81-2368"/>
    <x v="1"/>
    <x v="1"/>
    <x v="1"/>
    <x v="1"/>
    <n v="46.2"/>
    <x v="8"/>
    <n v="2.31"/>
    <n v="48.510000000000005"/>
  </r>
  <r>
    <x v="0"/>
    <s v="364-33-8584"/>
    <x v="2"/>
    <x v="2"/>
    <x v="0"/>
    <x v="3"/>
    <n v="17.63"/>
    <x v="1"/>
    <n v="4.4074999999999998"/>
    <n v="92.55749999999999"/>
  </r>
  <r>
    <x v="0"/>
    <s v="695-09-5146"/>
    <x v="2"/>
    <x v="2"/>
    <x v="0"/>
    <x v="3"/>
    <n v="98.79"/>
    <x v="5"/>
    <n v="14.8185"/>
    <n v="311.18849999999998"/>
  </r>
  <r>
    <x v="0"/>
    <s v="155-45-3814"/>
    <x v="1"/>
    <x v="1"/>
    <x v="0"/>
    <x v="1"/>
    <n v="88.55"/>
    <x v="7"/>
    <n v="35.42"/>
    <n v="743.81999999999994"/>
  </r>
  <r>
    <x v="0"/>
    <s v="131-15-8856"/>
    <x v="1"/>
    <x v="1"/>
    <x v="0"/>
    <x v="3"/>
    <n v="72.52"/>
    <x v="7"/>
    <n v="29.007999999999999"/>
    <n v="609.16800000000001"/>
  </r>
  <r>
    <x v="0"/>
    <s v="859-71-0933"/>
    <x v="1"/>
    <x v="1"/>
    <x v="0"/>
    <x v="5"/>
    <n v="15.49"/>
    <x v="4"/>
    <n v="1.5490000000000002"/>
    <n v="32.529000000000003"/>
  </r>
  <r>
    <x v="0"/>
    <s v="563-47-4072"/>
    <x v="2"/>
    <x v="2"/>
    <x v="1"/>
    <x v="0"/>
    <n v="55.81"/>
    <x v="2"/>
    <n v="16.743000000000002"/>
    <n v="351.60300000000001"/>
  </r>
  <r>
    <x v="0"/>
    <s v="169-52-4504"/>
    <x v="0"/>
    <x v="0"/>
    <x v="1"/>
    <x v="1"/>
    <n v="15.69"/>
    <x v="5"/>
    <n v="2.3534999999999999"/>
    <n v="49.423499999999997"/>
  </r>
  <r>
    <x v="0"/>
    <s v="250-81-7186"/>
    <x v="1"/>
    <x v="1"/>
    <x v="1"/>
    <x v="1"/>
    <n v="99.69"/>
    <x v="8"/>
    <n v="4.9845000000000006"/>
    <n v="104.67449999999999"/>
  </r>
  <r>
    <x v="0"/>
    <s v="562-12-5430"/>
    <x v="0"/>
    <x v="0"/>
    <x v="0"/>
    <x v="4"/>
    <n v="88.15"/>
    <x v="5"/>
    <n v="13.222500000000004"/>
    <n v="277.67250000000007"/>
  </r>
  <r>
    <x v="0"/>
    <s v="816-72-8853"/>
    <x v="0"/>
    <x v="0"/>
    <x v="0"/>
    <x v="5"/>
    <n v="27.93"/>
    <x v="1"/>
    <n v="6.9825000000000008"/>
    <n v="146.63249999999999"/>
  </r>
  <r>
    <x v="0"/>
    <s v="322-02-2271"/>
    <x v="2"/>
    <x v="2"/>
    <x v="1"/>
    <x v="5"/>
    <n v="42.97"/>
    <x v="5"/>
    <n v="6.4455"/>
    <n v="135.35550000000001"/>
  </r>
  <r>
    <x v="0"/>
    <s v="725-67-2480"/>
    <x v="2"/>
    <x v="2"/>
    <x v="0"/>
    <x v="4"/>
    <n v="58.75"/>
    <x v="2"/>
    <n v="17.625"/>
    <n v="370.125"/>
  </r>
  <r>
    <x v="0"/>
    <s v="641-51-2661"/>
    <x v="1"/>
    <x v="1"/>
    <x v="0"/>
    <x v="3"/>
    <n v="87.1"/>
    <x v="3"/>
    <n v="43.550000000000004"/>
    <n v="914.55"/>
  </r>
  <r>
    <x v="0"/>
    <s v="714-02-3114"/>
    <x v="1"/>
    <x v="1"/>
    <x v="1"/>
    <x v="5"/>
    <n v="98.8"/>
    <x v="4"/>
    <n v="9.8800000000000008"/>
    <n v="207.48"/>
  </r>
  <r>
    <x v="0"/>
    <s v="518-17-2983"/>
    <x v="0"/>
    <x v="0"/>
    <x v="1"/>
    <x v="4"/>
    <n v="48.63"/>
    <x v="6"/>
    <n v="9.7260000000000009"/>
    <n v="204.24600000000001"/>
  </r>
  <r>
    <x v="0"/>
    <s v="190-14-3147"/>
    <x v="2"/>
    <x v="2"/>
    <x v="1"/>
    <x v="0"/>
    <n v="17.97"/>
    <x v="6"/>
    <n v="3.5939999999999999"/>
    <n v="75.47399999999999"/>
  </r>
  <r>
    <x v="0"/>
    <s v="408-66-6712"/>
    <x v="1"/>
    <x v="1"/>
    <x v="0"/>
    <x v="0"/>
    <n v="47.71"/>
    <x v="2"/>
    <n v="14.313000000000001"/>
    <n v="300.57299999999998"/>
  </r>
  <r>
    <x v="0"/>
    <s v="679-22-6530"/>
    <x v="2"/>
    <x v="2"/>
    <x v="1"/>
    <x v="5"/>
    <n v="40.619999999999997"/>
    <x v="4"/>
    <n v="4.0620000000000003"/>
    <n v="85.301999999999992"/>
  </r>
  <r>
    <x v="0"/>
    <s v="576-31-4774"/>
    <x v="2"/>
    <x v="2"/>
    <x v="1"/>
    <x v="0"/>
    <n v="73.41"/>
    <x v="5"/>
    <n v="11.0115"/>
    <n v="231.2415"/>
  </r>
  <r>
    <x v="0"/>
    <s v="811-03-8790"/>
    <x v="0"/>
    <x v="0"/>
    <x v="1"/>
    <x v="1"/>
    <n v="45.48"/>
    <x v="3"/>
    <n v="22.74"/>
    <n v="477.53999999999996"/>
  </r>
  <r>
    <x v="0"/>
    <s v="752-23-3760"/>
    <x v="2"/>
    <x v="2"/>
    <x v="0"/>
    <x v="5"/>
    <n v="64.08"/>
    <x v="0"/>
    <n v="22.428000000000001"/>
    <n v="470.988"/>
  </r>
  <r>
    <x v="0"/>
    <s v="274-05-5470"/>
    <x v="0"/>
    <x v="0"/>
    <x v="0"/>
    <x v="3"/>
    <n v="73.47"/>
    <x v="6"/>
    <n v="14.694000000000001"/>
    <n v="308.57400000000001"/>
  </r>
  <r>
    <x v="0"/>
    <s v="528-87-5606"/>
    <x v="2"/>
    <x v="2"/>
    <x v="0"/>
    <x v="1"/>
    <n v="39.479999999999997"/>
    <x v="8"/>
    <n v="1.974"/>
    <n v="41.453999999999994"/>
  </r>
  <r>
    <x v="0"/>
    <s v="320-85-2052"/>
    <x v="2"/>
    <x v="2"/>
    <x v="1"/>
    <x v="5"/>
    <n v="34.81"/>
    <x v="8"/>
    <n v="1.7405000000000002"/>
    <n v="36.5505"/>
  </r>
  <r>
    <x v="0"/>
    <s v="370-96-0655"/>
    <x v="1"/>
    <x v="1"/>
    <x v="1"/>
    <x v="4"/>
    <n v="49.32"/>
    <x v="2"/>
    <n v="14.796000000000001"/>
    <n v="310.71600000000001"/>
  </r>
  <r>
    <x v="0"/>
    <s v="510-79-0415"/>
    <x v="2"/>
    <x v="2"/>
    <x v="0"/>
    <x v="5"/>
    <n v="23.08"/>
    <x v="2"/>
    <n v="6.9239999999999995"/>
    <n v="145.404"/>
  </r>
  <r>
    <x v="0"/>
    <s v="241-96-5076"/>
    <x v="2"/>
    <x v="2"/>
    <x v="0"/>
    <x v="2"/>
    <n v="49.1"/>
    <x v="4"/>
    <n v="4.91"/>
    <n v="103.11"/>
  </r>
  <r>
    <x v="0"/>
    <s v="767-97-4650"/>
    <x v="2"/>
    <x v="2"/>
    <x v="0"/>
    <x v="5"/>
    <n v="64.83"/>
    <x v="4"/>
    <n v="6.4830000000000005"/>
    <n v="136.143"/>
  </r>
  <r>
    <x v="0"/>
    <s v="305-03-2383"/>
    <x v="0"/>
    <x v="0"/>
    <x v="1"/>
    <x v="3"/>
    <n v="67.099999999999994"/>
    <x v="5"/>
    <n v="10.065"/>
    <n v="211.36499999999998"/>
  </r>
  <r>
    <x v="0"/>
    <s v="394-55-6384"/>
    <x v="1"/>
    <x v="1"/>
    <x v="0"/>
    <x v="5"/>
    <n v="70.19"/>
    <x v="9"/>
    <n v="31.585500000000003"/>
    <n v="663.29550000000006"/>
  </r>
  <r>
    <x v="0"/>
    <s v="196-01-2849"/>
    <x v="1"/>
    <x v="1"/>
    <x v="0"/>
    <x v="4"/>
    <n v="73.38"/>
    <x v="0"/>
    <n v="25.683"/>
    <n v="539.34299999999996"/>
  </r>
  <r>
    <x v="0"/>
    <s v="372-62-5264"/>
    <x v="1"/>
    <x v="1"/>
    <x v="1"/>
    <x v="3"/>
    <n v="52.6"/>
    <x v="9"/>
    <n v="23.67"/>
    <n v="497.07000000000005"/>
  </r>
  <r>
    <x v="0"/>
    <s v="800-09-8606"/>
    <x v="0"/>
    <x v="0"/>
    <x v="0"/>
    <x v="2"/>
    <n v="87.37"/>
    <x v="1"/>
    <n v="21.842500000000001"/>
    <n v="458.6925"/>
  </r>
  <r>
    <x v="0"/>
    <s v="182-52-7000"/>
    <x v="0"/>
    <x v="0"/>
    <x v="0"/>
    <x v="5"/>
    <n v="27.04"/>
    <x v="6"/>
    <n v="5.4080000000000004"/>
    <n v="113.568"/>
  </r>
  <r>
    <x v="0"/>
    <s v="626-43-7888"/>
    <x v="1"/>
    <x v="1"/>
    <x v="1"/>
    <x v="4"/>
    <n v="60.41"/>
    <x v="7"/>
    <n v="24.164000000000001"/>
    <n v="507.44399999999996"/>
  </r>
  <r>
    <x v="0"/>
    <s v="191-29-0321"/>
    <x v="2"/>
    <x v="2"/>
    <x v="0"/>
    <x v="4"/>
    <n v="19.77"/>
    <x v="3"/>
    <n v="9.8849999999999998"/>
    <n v="207.58499999999998"/>
  </r>
  <r>
    <x v="0"/>
    <s v="640-48-5028"/>
    <x v="2"/>
    <x v="2"/>
    <x v="0"/>
    <x v="2"/>
    <n v="88.39"/>
    <x v="9"/>
    <n v="39.775500000000001"/>
    <n v="835.28549999999996"/>
  </r>
  <r>
    <x v="0"/>
    <s v="834-45-5519"/>
    <x v="2"/>
    <x v="2"/>
    <x v="1"/>
    <x v="1"/>
    <n v="43"/>
    <x v="6"/>
    <n v="8.6"/>
    <n v="180.6"/>
  </r>
  <r>
    <x v="0"/>
    <s v="728-88-7867"/>
    <x v="1"/>
    <x v="1"/>
    <x v="0"/>
    <x v="2"/>
    <n v="75.53"/>
    <x v="6"/>
    <n v="15.106000000000002"/>
    <n v="317.226"/>
  </r>
  <r>
    <x v="0"/>
    <s v="183-21-3799"/>
    <x v="1"/>
    <x v="1"/>
    <x v="1"/>
    <x v="1"/>
    <n v="77.63"/>
    <x v="9"/>
    <n v="34.933500000000002"/>
    <n v="733.60349999999994"/>
  </r>
  <r>
    <x v="0"/>
    <s v="268-20-3585"/>
    <x v="1"/>
    <x v="1"/>
    <x v="1"/>
    <x v="0"/>
    <n v="13.85"/>
    <x v="9"/>
    <n v="6.2324999999999999"/>
    <n v="130.88249999999999"/>
  </r>
  <r>
    <x v="0"/>
    <s v="258-92-7466"/>
    <x v="0"/>
    <x v="0"/>
    <x v="1"/>
    <x v="0"/>
    <n v="35.68"/>
    <x v="1"/>
    <n v="8.92"/>
    <n v="187.32"/>
  </r>
  <r>
    <x v="0"/>
    <s v="857-16-3520"/>
    <x v="0"/>
    <x v="0"/>
    <x v="0"/>
    <x v="4"/>
    <n v="71.459999999999994"/>
    <x v="0"/>
    <n v="25.010999999999999"/>
    <n v="525.23099999999999"/>
  </r>
  <r>
    <x v="0"/>
    <s v="821-14-9046"/>
    <x v="2"/>
    <x v="2"/>
    <x v="0"/>
    <x v="4"/>
    <n v="17.48"/>
    <x v="2"/>
    <n v="5.2439999999999998"/>
    <n v="110.124"/>
  </r>
  <r>
    <x v="0"/>
    <s v="418-05-0656"/>
    <x v="2"/>
    <x v="2"/>
    <x v="1"/>
    <x v="4"/>
    <n v="25.56"/>
    <x v="0"/>
    <n v="8.9459999999999997"/>
    <n v="187.86599999999999"/>
  </r>
  <r>
    <x v="0"/>
    <s v="678-79-0726"/>
    <x v="1"/>
    <x v="1"/>
    <x v="0"/>
    <x v="5"/>
    <n v="90.63"/>
    <x v="9"/>
    <n v="40.783500000000004"/>
    <n v="856.45349999999996"/>
  </r>
  <r>
    <x v="0"/>
    <s v="592-46-1692"/>
    <x v="1"/>
    <x v="1"/>
    <x v="0"/>
    <x v="3"/>
    <n v="36.770000000000003"/>
    <x v="0"/>
    <n v="12.869500000000002"/>
    <n v="270.25950000000006"/>
  </r>
  <r>
    <x v="0"/>
    <s v="149-14-0304"/>
    <x v="1"/>
    <x v="1"/>
    <x v="0"/>
    <x v="0"/>
    <n v="28.5"/>
    <x v="7"/>
    <n v="11.4"/>
    <n v="239.4"/>
  </r>
  <r>
    <x v="0"/>
    <s v="299-29-0180"/>
    <x v="2"/>
    <x v="2"/>
    <x v="0"/>
    <x v="2"/>
    <n v="52.18"/>
    <x v="0"/>
    <n v="18.263000000000002"/>
    <n v="383.52299999999997"/>
  </r>
  <r>
    <x v="0"/>
    <s v="247-11-2470"/>
    <x v="0"/>
    <x v="0"/>
    <x v="0"/>
    <x v="4"/>
    <n v="22.32"/>
    <x v="6"/>
    <n v="4.4640000000000004"/>
    <n v="93.744"/>
  </r>
  <r>
    <x v="0"/>
    <s v="386-27-7606"/>
    <x v="1"/>
    <x v="1"/>
    <x v="0"/>
    <x v="2"/>
    <n v="81.2"/>
    <x v="0"/>
    <n v="28.42"/>
    <n v="596.81999999999994"/>
  </r>
  <r>
    <x v="0"/>
    <s v="373-14-0504"/>
    <x v="0"/>
    <x v="0"/>
    <x v="0"/>
    <x v="5"/>
    <n v="71.63"/>
    <x v="4"/>
    <n v="7.1630000000000003"/>
    <n v="150.423"/>
  </r>
  <r>
    <x v="0"/>
    <s v="345-68-9016"/>
    <x v="1"/>
    <x v="1"/>
    <x v="0"/>
    <x v="5"/>
    <n v="31.67"/>
    <x v="7"/>
    <n v="12.668000000000001"/>
    <n v="266.02800000000002"/>
  </r>
  <r>
    <x v="0"/>
    <s v="390-17-5806"/>
    <x v="1"/>
    <x v="1"/>
    <x v="0"/>
    <x v="3"/>
    <n v="38.42"/>
    <x v="8"/>
    <n v="1.9210000000000003"/>
    <n v="40.341000000000001"/>
  </r>
  <r>
    <x v="0"/>
    <s v="664-14-2882"/>
    <x v="1"/>
    <x v="1"/>
    <x v="0"/>
    <x v="2"/>
    <n v="10.53"/>
    <x v="1"/>
    <n v="2.6325000000000003"/>
    <n v="55.282499999999999"/>
  </r>
  <r>
    <x v="0"/>
    <s v="487-79-6868"/>
    <x v="2"/>
    <x v="2"/>
    <x v="0"/>
    <x v="2"/>
    <n v="12.29"/>
    <x v="9"/>
    <n v="5.5305"/>
    <n v="116.14049999999999"/>
  </r>
  <r>
    <x v="0"/>
    <s v="210-30-7976"/>
    <x v="2"/>
    <x v="2"/>
    <x v="0"/>
    <x v="4"/>
    <n v="22.32"/>
    <x v="6"/>
    <n v="4.4640000000000004"/>
    <n v="93.744"/>
  </r>
  <r>
    <x v="0"/>
    <s v="585-86-8361"/>
    <x v="0"/>
    <x v="0"/>
    <x v="1"/>
    <x v="3"/>
    <n v="27.28"/>
    <x v="1"/>
    <n v="6.82"/>
    <n v="143.22"/>
  </r>
  <r>
    <x v="0"/>
    <s v="807-14-7833"/>
    <x v="0"/>
    <x v="0"/>
    <x v="0"/>
    <x v="1"/>
    <n v="17.420000000000002"/>
    <x v="3"/>
    <n v="8.7100000000000009"/>
    <n v="182.91000000000003"/>
  </r>
  <r>
    <x v="0"/>
    <s v="288-38-3758"/>
    <x v="1"/>
    <x v="1"/>
    <x v="0"/>
    <x v="4"/>
    <n v="84.87"/>
    <x v="5"/>
    <n v="12.730500000000001"/>
    <n v="267.34050000000002"/>
  </r>
  <r>
    <x v="0"/>
    <s v="652-43-6591"/>
    <x v="0"/>
    <x v="0"/>
    <x v="1"/>
    <x v="4"/>
    <n v="97.29"/>
    <x v="7"/>
    <n v="38.916000000000004"/>
    <n v="817.2360000000001"/>
  </r>
  <r>
    <x v="0"/>
    <s v="785-96-0615"/>
    <x v="2"/>
    <x v="2"/>
    <x v="0"/>
    <x v="1"/>
    <n v="35.74"/>
    <x v="7"/>
    <n v="14.296000000000001"/>
    <n v="300.21600000000001"/>
  </r>
  <r>
    <x v="0"/>
    <s v="406-46-7107"/>
    <x v="0"/>
    <x v="0"/>
    <x v="1"/>
    <x v="2"/>
    <n v="96.52"/>
    <x v="2"/>
    <n v="28.956000000000003"/>
    <n v="608.07600000000002"/>
  </r>
  <r>
    <x v="0"/>
    <s v="156-95-3964"/>
    <x v="0"/>
    <x v="0"/>
    <x v="1"/>
    <x v="3"/>
    <n v="55.39"/>
    <x v="6"/>
    <n v="11.078000000000001"/>
    <n v="232.63800000000001"/>
  </r>
  <r>
    <x v="0"/>
    <s v="842-40-8179"/>
    <x v="2"/>
    <x v="2"/>
    <x v="0"/>
    <x v="3"/>
    <n v="77.2"/>
    <x v="3"/>
    <n v="38.6"/>
    <n v="810.6"/>
  </r>
  <r>
    <x v="0"/>
    <s v="410-67-1709"/>
    <x v="0"/>
    <x v="0"/>
    <x v="0"/>
    <x v="4"/>
    <n v="63.88"/>
    <x v="7"/>
    <n v="25.552000000000003"/>
    <n v="536.59199999999998"/>
  </r>
  <r>
    <x v="0"/>
    <s v="587-73-4862"/>
    <x v="0"/>
    <x v="0"/>
    <x v="0"/>
    <x v="0"/>
    <n v="10.69"/>
    <x v="1"/>
    <n v="2.6724999999999999"/>
    <n v="56.122499999999995"/>
  </r>
  <r>
    <x v="0"/>
    <s v="593-14-4239"/>
    <x v="2"/>
    <x v="2"/>
    <x v="1"/>
    <x v="2"/>
    <n v="95.46"/>
    <x v="7"/>
    <n v="38.183999999999997"/>
    <n v="801.86399999999992"/>
  </r>
  <r>
    <x v="0"/>
    <s v="801-88-0346"/>
    <x v="1"/>
    <x v="1"/>
    <x v="1"/>
    <x v="4"/>
    <n v="76.06"/>
    <x v="5"/>
    <n v="11.409000000000001"/>
    <n v="239.589"/>
  </r>
  <r>
    <x v="0"/>
    <s v="711-31-1234"/>
    <x v="2"/>
    <x v="2"/>
    <x v="1"/>
    <x v="1"/>
    <n v="95.64"/>
    <x v="6"/>
    <n v="19.128"/>
    <n v="401.68799999999999"/>
  </r>
  <r>
    <x v="0"/>
    <s v="886-54-6089"/>
    <x v="0"/>
    <x v="0"/>
    <x v="1"/>
    <x v="2"/>
    <n v="11.43"/>
    <x v="2"/>
    <n v="3.4290000000000003"/>
    <n v="72.009"/>
  </r>
  <r>
    <x v="0"/>
    <s v="707-32-7409"/>
    <x v="2"/>
    <x v="2"/>
    <x v="0"/>
    <x v="5"/>
    <n v="95.54"/>
    <x v="6"/>
    <n v="19.108000000000001"/>
    <n v="401.26800000000003"/>
  </r>
  <r>
    <x v="0"/>
    <s v="759-98-4285"/>
    <x v="1"/>
    <x v="1"/>
    <x v="0"/>
    <x v="0"/>
    <n v="85.87"/>
    <x v="0"/>
    <n v="30.054500000000004"/>
    <n v="631.14449999999999"/>
  </r>
  <r>
    <x v="0"/>
    <s v="201-63-8275"/>
    <x v="1"/>
    <x v="1"/>
    <x v="0"/>
    <x v="5"/>
    <n v="67.989999999999995"/>
    <x v="0"/>
    <n v="23.796499999999998"/>
    <n v="499.72649999999993"/>
  </r>
  <r>
    <x v="0"/>
    <s v="471-06-8611"/>
    <x v="1"/>
    <x v="1"/>
    <x v="1"/>
    <x v="3"/>
    <n v="52.42"/>
    <x v="8"/>
    <n v="2.6210000000000004"/>
    <n v="55.041000000000004"/>
  </r>
  <r>
    <x v="0"/>
    <s v="120-54-2248"/>
    <x v="2"/>
    <x v="2"/>
    <x v="1"/>
    <x v="3"/>
    <n v="28.86"/>
    <x v="1"/>
    <n v="7.2150000000000007"/>
    <n v="151.51500000000001"/>
  </r>
  <r>
    <x v="0"/>
    <s v="534-53-3526"/>
    <x v="0"/>
    <x v="0"/>
    <x v="1"/>
    <x v="5"/>
    <n v="94.76"/>
    <x v="6"/>
    <n v="18.952000000000002"/>
    <n v="397.99200000000002"/>
  </r>
  <r>
    <x v="0"/>
    <s v="307-04-2070"/>
    <x v="0"/>
    <x v="0"/>
    <x v="0"/>
    <x v="4"/>
    <n v="30.62"/>
    <x v="8"/>
    <n v="1.5310000000000001"/>
    <n v="32.151000000000003"/>
  </r>
  <r>
    <x v="0"/>
    <s v="468-99-7231"/>
    <x v="1"/>
    <x v="1"/>
    <x v="1"/>
    <x v="2"/>
    <n v="44.01"/>
    <x v="7"/>
    <n v="17.603999999999999"/>
    <n v="369.68399999999997"/>
  </r>
  <r>
    <x v="0"/>
    <s v="516-77-6464"/>
    <x v="1"/>
    <x v="1"/>
    <x v="0"/>
    <x v="0"/>
    <n v="10.16"/>
    <x v="1"/>
    <n v="2.54"/>
    <n v="53.339999999999996"/>
  </r>
  <r>
    <x v="0"/>
    <s v="790-38-4466"/>
    <x v="1"/>
    <x v="1"/>
    <x v="1"/>
    <x v="0"/>
    <n v="10.99"/>
    <x v="1"/>
    <n v="2.7475000000000005"/>
    <n v="57.697500000000005"/>
  </r>
  <r>
    <x v="0"/>
    <s v="744-16-7898"/>
    <x v="2"/>
    <x v="2"/>
    <x v="1"/>
    <x v="2"/>
    <n v="97.37"/>
    <x v="3"/>
    <n v="48.685000000000002"/>
    <n v="1022.385"/>
  </r>
  <r>
    <x v="0"/>
    <s v="702-72-0487"/>
    <x v="0"/>
    <x v="0"/>
    <x v="1"/>
    <x v="1"/>
    <n v="46.61"/>
    <x v="4"/>
    <n v="4.6610000000000005"/>
    <n v="97.881"/>
  </r>
  <r>
    <x v="0"/>
    <s v="443-60-9639"/>
    <x v="1"/>
    <x v="1"/>
    <x v="0"/>
    <x v="2"/>
    <n v="60.87"/>
    <x v="8"/>
    <n v="3.0434999999999999"/>
    <n v="63.913499999999999"/>
  </r>
  <r>
    <x v="0"/>
    <s v="864-24-7918"/>
    <x v="0"/>
    <x v="0"/>
    <x v="0"/>
    <x v="5"/>
    <n v="24.49"/>
    <x v="3"/>
    <n v="12.244999999999999"/>
    <n v="257.14499999999998"/>
  </r>
  <r>
    <x v="0"/>
    <s v="324-41-6833"/>
    <x v="1"/>
    <x v="1"/>
    <x v="0"/>
    <x v="1"/>
    <n v="30.2"/>
    <x v="7"/>
    <n v="12.08"/>
    <n v="253.68"/>
  </r>
  <r>
    <x v="0"/>
    <s v="759-29-9521"/>
    <x v="0"/>
    <x v="0"/>
    <x v="0"/>
    <x v="4"/>
    <n v="48.96"/>
    <x v="9"/>
    <n v="22.032"/>
    <n v="462.67199999999997"/>
  </r>
  <r>
    <x v="0"/>
    <s v="831-81-6575"/>
    <x v="2"/>
    <x v="2"/>
    <x v="0"/>
    <x v="1"/>
    <n v="75.59"/>
    <x v="9"/>
    <n v="34.015500000000003"/>
    <n v="714.32550000000003"/>
  </r>
  <r>
    <x v="0"/>
    <s v="220-68-6701"/>
    <x v="0"/>
    <x v="0"/>
    <x v="1"/>
    <x v="2"/>
    <n v="77.47"/>
    <x v="6"/>
    <n v="15.494"/>
    <n v="325.37400000000002"/>
  </r>
  <r>
    <x v="0"/>
    <s v="618-34-8551"/>
    <x v="0"/>
    <x v="0"/>
    <x v="1"/>
    <x v="5"/>
    <n v="93.18"/>
    <x v="4"/>
    <n v="9.3180000000000014"/>
    <n v="195.67800000000003"/>
  </r>
  <r>
    <x v="0"/>
    <s v="257-60-7754"/>
    <x v="0"/>
    <x v="0"/>
    <x v="1"/>
    <x v="1"/>
    <n v="50.23"/>
    <x v="6"/>
    <n v="10.045999999999999"/>
    <n v="210.96599999999998"/>
  </r>
  <r>
    <x v="0"/>
    <s v="559-61-5987"/>
    <x v="2"/>
    <x v="2"/>
    <x v="1"/>
    <x v="0"/>
    <n v="17.75"/>
    <x v="8"/>
    <n v="0.88750000000000007"/>
    <n v="18.637499999999999"/>
  </r>
  <r>
    <x v="0"/>
    <s v="189-55-2313"/>
    <x v="1"/>
    <x v="1"/>
    <x v="1"/>
    <x v="4"/>
    <n v="62.18"/>
    <x v="3"/>
    <n v="31.09"/>
    <n v="652.89"/>
  </r>
  <r>
    <x v="0"/>
    <s v="380-60-5336"/>
    <x v="0"/>
    <x v="0"/>
    <x v="1"/>
    <x v="1"/>
    <n v="40.26"/>
    <x v="3"/>
    <n v="20.13"/>
    <n v="422.72999999999996"/>
  </r>
  <r>
    <x v="0"/>
    <s v="815-04-6282"/>
    <x v="1"/>
    <x v="1"/>
    <x v="0"/>
    <x v="5"/>
    <n v="64.97"/>
    <x v="1"/>
    <n v="16.242500000000003"/>
    <n v="341.09250000000003"/>
  </r>
  <r>
    <x v="0"/>
    <s v="778-34-2523"/>
    <x v="0"/>
    <x v="0"/>
    <x v="0"/>
    <x v="1"/>
    <n v="48.62"/>
    <x v="7"/>
    <n v="19.448"/>
    <n v="408.40799999999996"/>
  </r>
  <r>
    <x v="0"/>
    <s v="499-27-7781"/>
    <x v="2"/>
    <x v="2"/>
    <x v="1"/>
    <x v="3"/>
    <n v="53.21"/>
    <x v="7"/>
    <n v="21.284000000000002"/>
    <n v="446.964"/>
  </r>
  <r>
    <x v="0"/>
    <s v="477-59-2456"/>
    <x v="1"/>
    <x v="1"/>
    <x v="1"/>
    <x v="4"/>
    <n v="45.44"/>
    <x v="0"/>
    <n v="15.904"/>
    <n v="333.98399999999998"/>
  </r>
  <r>
    <x v="0"/>
    <s v="186-43-8965"/>
    <x v="0"/>
    <x v="0"/>
    <x v="0"/>
    <x v="2"/>
    <n v="47.68"/>
    <x v="4"/>
    <n v="4.7679999999999998"/>
    <n v="100.128"/>
  </r>
  <r>
    <x v="0"/>
    <s v="276-75-6884"/>
    <x v="0"/>
    <x v="0"/>
    <x v="1"/>
    <x v="0"/>
    <n v="68.709999999999994"/>
    <x v="5"/>
    <n v="10.3065"/>
    <n v="216.4365"/>
  </r>
  <r>
    <x v="0"/>
    <s v="109-86-4363"/>
    <x v="2"/>
    <x v="2"/>
    <x v="0"/>
    <x v="5"/>
    <n v="60.08"/>
    <x v="0"/>
    <n v="21.028000000000002"/>
    <n v="441.58800000000002"/>
  </r>
  <r>
    <x v="0"/>
    <s v="569-76-2760"/>
    <x v="0"/>
    <x v="0"/>
    <x v="0"/>
    <x v="5"/>
    <n v="22.01"/>
    <x v="6"/>
    <n v="4.4020000000000001"/>
    <n v="92.442000000000007"/>
  </r>
  <r>
    <x v="0"/>
    <s v="222-42-0244"/>
    <x v="2"/>
    <x v="2"/>
    <x v="0"/>
    <x v="0"/>
    <n v="72.11"/>
    <x v="9"/>
    <n v="32.4495"/>
    <n v="681.43949999999995"/>
  </r>
  <r>
    <x v="0"/>
    <s v="416-17-9926"/>
    <x v="0"/>
    <x v="0"/>
    <x v="0"/>
    <x v="1"/>
    <n v="74.22"/>
    <x v="3"/>
    <n v="37.110000000000007"/>
    <n v="779.31000000000006"/>
  </r>
  <r>
    <x v="0"/>
    <s v="343-75-9322"/>
    <x v="2"/>
    <x v="2"/>
    <x v="0"/>
    <x v="5"/>
    <n v="11.85"/>
    <x v="7"/>
    <n v="4.74"/>
    <n v="99.539999999999992"/>
  </r>
  <r>
    <x v="0"/>
    <s v="427-45-9297"/>
    <x v="2"/>
    <x v="2"/>
    <x v="0"/>
    <x v="2"/>
    <n v="40.729999999999997"/>
    <x v="0"/>
    <n v="14.255499999999998"/>
    <n v="299.36549999999994"/>
  </r>
  <r>
    <x v="0"/>
    <s v="271-77-8740"/>
    <x v="1"/>
    <x v="1"/>
    <x v="0"/>
    <x v="5"/>
    <n v="29.22"/>
    <x v="2"/>
    <n v="8.766"/>
    <n v="184.08599999999998"/>
  </r>
  <r>
    <x v="0"/>
    <s v="860-73-6466"/>
    <x v="0"/>
    <x v="0"/>
    <x v="0"/>
    <x v="5"/>
    <n v="39.47"/>
    <x v="4"/>
    <n v="3.9470000000000001"/>
    <n v="82.887"/>
  </r>
  <r>
    <x v="0"/>
    <s v="549-23-9016"/>
    <x v="1"/>
    <x v="1"/>
    <x v="0"/>
    <x v="3"/>
    <n v="14.87"/>
    <x v="4"/>
    <n v="1.4870000000000001"/>
    <n v="31.226999999999997"/>
  </r>
  <r>
    <x v="0"/>
    <s v="862-29-5914"/>
    <x v="1"/>
    <x v="1"/>
    <x v="1"/>
    <x v="5"/>
    <n v="22.38"/>
    <x v="8"/>
    <n v="1.119"/>
    <n v="23.498999999999999"/>
  </r>
  <r>
    <x v="0"/>
    <s v="845-94-6841"/>
    <x v="1"/>
    <x v="1"/>
    <x v="0"/>
    <x v="3"/>
    <n v="72.88"/>
    <x v="9"/>
    <n v="32.795999999999999"/>
    <n v="688.71600000000001"/>
  </r>
  <r>
    <x v="0"/>
    <s v="125-45-2293"/>
    <x v="0"/>
    <x v="0"/>
    <x v="1"/>
    <x v="4"/>
    <n v="99.1"/>
    <x v="2"/>
    <n v="29.729999999999997"/>
    <n v="624.32999999999993"/>
  </r>
  <r>
    <x v="0"/>
    <s v="409-33-9708"/>
    <x v="0"/>
    <x v="0"/>
    <x v="1"/>
    <x v="4"/>
    <n v="98.48"/>
    <x v="4"/>
    <n v="9.8480000000000008"/>
    <n v="206.80800000000002"/>
  </r>
  <r>
    <x v="0"/>
    <s v="866-70-2814"/>
    <x v="2"/>
    <x v="2"/>
    <x v="1"/>
    <x v="1"/>
    <n v="52.79"/>
    <x v="3"/>
    <n v="26.395"/>
    <n v="554.29499999999996"/>
  </r>
  <r>
    <x v="0"/>
    <s v="160-22-2687"/>
    <x v="0"/>
    <x v="0"/>
    <x v="0"/>
    <x v="0"/>
    <n v="95.95"/>
    <x v="1"/>
    <n v="23.987500000000001"/>
    <n v="503.73750000000001"/>
  </r>
  <r>
    <x v="0"/>
    <s v="895-03-6665"/>
    <x v="2"/>
    <x v="2"/>
    <x v="1"/>
    <x v="4"/>
    <n v="36.51"/>
    <x v="9"/>
    <n v="16.429500000000001"/>
    <n v="345.01949999999999"/>
  </r>
  <r>
    <x v="0"/>
    <s v="748-45-2862"/>
    <x v="0"/>
    <x v="0"/>
    <x v="0"/>
    <x v="2"/>
    <n v="28.31"/>
    <x v="6"/>
    <n v="5.6619999999999999"/>
    <n v="118.902"/>
  </r>
  <r>
    <x v="0"/>
    <s v="316-66-3011"/>
    <x v="0"/>
    <x v="0"/>
    <x v="0"/>
    <x v="3"/>
    <n v="47.63"/>
    <x v="9"/>
    <n v="21.433500000000002"/>
    <n v="450.1035"/>
  </r>
  <r>
    <x v="0"/>
    <s v="848-95-6252"/>
    <x v="1"/>
    <x v="1"/>
    <x v="0"/>
    <x v="2"/>
    <n v="86.27"/>
    <x v="8"/>
    <n v="4.3135000000000003"/>
    <n v="90.583500000000001"/>
  </r>
  <r>
    <x v="0"/>
    <s v="152-03-4217"/>
    <x v="2"/>
    <x v="2"/>
    <x v="1"/>
    <x v="2"/>
    <n v="11.28"/>
    <x v="9"/>
    <n v="5.0760000000000005"/>
    <n v="106.596"/>
  </r>
  <r>
    <x v="0"/>
    <s v="533-66-5566"/>
    <x v="2"/>
    <x v="2"/>
    <x v="1"/>
    <x v="2"/>
    <n v="51.07"/>
    <x v="0"/>
    <n v="17.874500000000001"/>
    <n v="375.36450000000002"/>
  </r>
  <r>
    <x v="0"/>
    <s v="124-31-1458"/>
    <x v="0"/>
    <x v="0"/>
    <x v="0"/>
    <x v="1"/>
    <n v="79.59"/>
    <x v="5"/>
    <n v="11.938500000000001"/>
    <n v="250.70850000000002"/>
  </r>
  <r>
    <x v="0"/>
    <s v="101-81-4070"/>
    <x v="1"/>
    <x v="1"/>
    <x v="0"/>
    <x v="0"/>
    <n v="62.82"/>
    <x v="4"/>
    <n v="6.282"/>
    <n v="131.922"/>
  </r>
  <r>
    <x v="0"/>
    <s v="544-55-9589"/>
    <x v="2"/>
    <x v="2"/>
    <x v="0"/>
    <x v="1"/>
    <n v="21.43"/>
    <x v="3"/>
    <n v="10.715000000000002"/>
    <n v="225.01500000000001"/>
  </r>
  <r>
    <x v="0"/>
    <s v="448-61-3783"/>
    <x v="0"/>
    <x v="0"/>
    <x v="1"/>
    <x v="1"/>
    <n v="90.02"/>
    <x v="7"/>
    <n v="36.008000000000003"/>
    <n v="756.16800000000001"/>
  </r>
  <r>
    <x v="0"/>
    <s v="761-49-0439"/>
    <x v="2"/>
    <x v="2"/>
    <x v="0"/>
    <x v="1"/>
    <n v="12.1"/>
    <x v="7"/>
    <n v="4.84"/>
    <n v="101.64"/>
  </r>
  <r>
    <x v="0"/>
    <s v="490-95-0021"/>
    <x v="2"/>
    <x v="2"/>
    <x v="0"/>
    <x v="3"/>
    <n v="33.21"/>
    <x v="3"/>
    <n v="16.605"/>
    <n v="348.70500000000004"/>
  </r>
  <r>
    <x v="0"/>
    <s v="115-38-7388"/>
    <x v="1"/>
    <x v="1"/>
    <x v="0"/>
    <x v="4"/>
    <n v="10.18"/>
    <x v="7"/>
    <n v="4.0720000000000001"/>
    <n v="85.512"/>
  </r>
  <r>
    <x v="0"/>
    <s v="291-55-6563"/>
    <x v="0"/>
    <x v="0"/>
    <x v="0"/>
    <x v="2"/>
    <n v="34.42"/>
    <x v="2"/>
    <n v="10.326000000000001"/>
    <n v="216.846"/>
  </r>
  <r>
    <x v="0"/>
    <s v="548-48-3156"/>
    <x v="0"/>
    <x v="0"/>
    <x v="0"/>
    <x v="3"/>
    <n v="83.34"/>
    <x v="4"/>
    <n v="8.3340000000000014"/>
    <n v="175.01400000000001"/>
  </r>
  <r>
    <x v="0"/>
    <s v="884-80-6021"/>
    <x v="0"/>
    <x v="0"/>
    <x v="0"/>
    <x v="1"/>
    <n v="73.47"/>
    <x v="3"/>
    <n v="36.735000000000007"/>
    <n v="771.43500000000006"/>
  </r>
  <r>
    <x v="0"/>
    <s v="137-74-8729"/>
    <x v="1"/>
    <x v="1"/>
    <x v="1"/>
    <x v="4"/>
    <n v="12.19"/>
    <x v="7"/>
    <n v="4.8760000000000003"/>
    <n v="102.396"/>
  </r>
  <r>
    <x v="0"/>
    <s v="389-70-2397"/>
    <x v="1"/>
    <x v="1"/>
    <x v="1"/>
    <x v="0"/>
    <n v="83.66"/>
    <x v="1"/>
    <n v="20.914999999999999"/>
    <n v="439.21499999999997"/>
  </r>
  <r>
    <x v="0"/>
    <s v="114-35-5271"/>
    <x v="2"/>
    <x v="2"/>
    <x v="1"/>
    <x v="1"/>
    <n v="57.91"/>
    <x v="7"/>
    <n v="23.164000000000001"/>
    <n v="486.44399999999996"/>
  </r>
  <r>
    <x v="0"/>
    <s v="607-76-6216"/>
    <x v="1"/>
    <x v="1"/>
    <x v="0"/>
    <x v="4"/>
    <n v="92.49"/>
    <x v="1"/>
    <n v="23.122500000000002"/>
    <n v="485.57249999999999"/>
  </r>
  <r>
    <x v="0"/>
    <s v="409-49-6995"/>
    <x v="1"/>
    <x v="1"/>
    <x v="0"/>
    <x v="3"/>
    <n v="47.27"/>
    <x v="2"/>
    <n v="14.181000000000001"/>
    <n v="297.80099999999999"/>
  </r>
  <r>
    <x v="0"/>
    <s v="377-79-7592"/>
    <x v="1"/>
    <x v="1"/>
    <x v="0"/>
    <x v="1"/>
    <n v="44.84"/>
    <x v="9"/>
    <n v="20.178000000000004"/>
    <n v="423.73800000000006"/>
  </r>
  <r>
    <x v="0"/>
    <s v="595-94-9924"/>
    <x v="0"/>
    <x v="0"/>
    <x v="0"/>
    <x v="0"/>
    <n v="27.73"/>
    <x v="1"/>
    <n v="6.932500000000001"/>
    <n v="145.58250000000001"/>
  </r>
  <r>
    <x v="0"/>
    <s v="545-07-8534"/>
    <x v="1"/>
    <x v="1"/>
    <x v="1"/>
    <x v="0"/>
    <n v="58.32"/>
    <x v="4"/>
    <n v="5.8320000000000007"/>
    <n v="122.47200000000001"/>
  </r>
  <r>
    <x v="0"/>
    <s v="118-62-1812"/>
    <x v="1"/>
    <x v="1"/>
    <x v="0"/>
    <x v="2"/>
    <n v="78.38"/>
    <x v="6"/>
    <n v="15.676"/>
    <n v="329.19599999999997"/>
  </r>
  <r>
    <x v="0"/>
    <s v="851-98-3555"/>
    <x v="2"/>
    <x v="2"/>
    <x v="1"/>
    <x v="0"/>
    <n v="82.88"/>
    <x v="1"/>
    <n v="20.72"/>
    <n v="435.12"/>
  </r>
  <r>
    <x v="0"/>
    <s v="186-71-5196"/>
    <x v="0"/>
    <x v="0"/>
    <x v="0"/>
    <x v="3"/>
    <n v="79.540000000000006"/>
    <x v="4"/>
    <n v="7.9540000000000006"/>
    <n v="167.03400000000002"/>
  </r>
  <r>
    <x v="0"/>
    <s v="624-01-8356"/>
    <x v="2"/>
    <x v="2"/>
    <x v="1"/>
    <x v="2"/>
    <n v="49.01"/>
    <x v="3"/>
    <n v="24.504999999999999"/>
    <n v="514.60500000000002"/>
  </r>
  <r>
    <x v="0"/>
    <s v="313-66-9943"/>
    <x v="2"/>
    <x v="2"/>
    <x v="0"/>
    <x v="3"/>
    <n v="29.15"/>
    <x v="5"/>
    <n v="4.3724999999999996"/>
    <n v="91.822499999999991"/>
  </r>
  <r>
    <x v="0"/>
    <s v="151-27-8496"/>
    <x v="1"/>
    <x v="1"/>
    <x v="1"/>
    <x v="1"/>
    <n v="56.13"/>
    <x v="6"/>
    <n v="11.226000000000001"/>
    <n v="235.74600000000001"/>
  </r>
  <r>
    <x v="0"/>
    <s v="453-33-6436"/>
    <x v="0"/>
    <x v="0"/>
    <x v="1"/>
    <x v="2"/>
    <n v="93.12"/>
    <x v="7"/>
    <n v="37.248000000000005"/>
    <n v="782.20800000000008"/>
  </r>
  <r>
    <x v="0"/>
    <s v="459-45-2396"/>
    <x v="0"/>
    <x v="0"/>
    <x v="0"/>
    <x v="3"/>
    <n v="99.6"/>
    <x v="5"/>
    <n v="14.939999999999998"/>
    <n v="313.73999999999995"/>
  </r>
  <r>
    <x v="0"/>
    <s v="717-96-4189"/>
    <x v="1"/>
    <x v="1"/>
    <x v="1"/>
    <x v="1"/>
    <n v="35.49"/>
    <x v="2"/>
    <n v="10.647"/>
    <n v="223.58699999999999"/>
  </r>
  <r>
    <x v="0"/>
    <s v="749-81-8133"/>
    <x v="0"/>
    <x v="0"/>
    <x v="1"/>
    <x v="4"/>
    <n v="94.67"/>
    <x v="6"/>
    <n v="18.934000000000001"/>
    <n v="397.61400000000003"/>
  </r>
  <r>
    <x v="0"/>
    <s v="636-98-3364"/>
    <x v="2"/>
    <x v="2"/>
    <x v="0"/>
    <x v="1"/>
    <n v="26.26"/>
    <x v="5"/>
    <n v="3.9390000000000001"/>
    <n v="82.718999999999994"/>
  </r>
  <r>
    <x v="0"/>
    <s v="246-55-6923"/>
    <x v="1"/>
    <x v="1"/>
    <x v="0"/>
    <x v="2"/>
    <n v="35.79"/>
    <x v="9"/>
    <n v="16.105500000000003"/>
    <n v="338.21550000000002"/>
  </r>
  <r>
    <x v="0"/>
    <s v="181-82-6255"/>
    <x v="2"/>
    <x v="2"/>
    <x v="1"/>
    <x v="2"/>
    <n v="16.37"/>
    <x v="2"/>
    <n v="4.9110000000000005"/>
    <n v="103.131"/>
  </r>
  <r>
    <x v="0"/>
    <s v="838-02-1821"/>
    <x v="1"/>
    <x v="1"/>
    <x v="0"/>
    <x v="2"/>
    <n v="12.73"/>
    <x v="4"/>
    <n v="1.2730000000000001"/>
    <n v="26.733000000000001"/>
  </r>
  <r>
    <x v="0"/>
    <s v="887-42-0517"/>
    <x v="1"/>
    <x v="1"/>
    <x v="1"/>
    <x v="5"/>
    <n v="83.14"/>
    <x v="0"/>
    <n v="29.099000000000004"/>
    <n v="611.07900000000006"/>
  </r>
  <r>
    <x v="0"/>
    <s v="457-12-0244"/>
    <x v="1"/>
    <x v="1"/>
    <x v="0"/>
    <x v="5"/>
    <n v="35.22"/>
    <x v="2"/>
    <n v="10.566000000000001"/>
    <n v="221.886"/>
  </r>
  <r>
    <x v="0"/>
    <s v="226-34-0034"/>
    <x v="2"/>
    <x v="2"/>
    <x v="1"/>
    <x v="1"/>
    <n v="13.78"/>
    <x v="6"/>
    <n v="2.7560000000000002"/>
    <n v="57.875999999999998"/>
  </r>
  <r>
    <x v="0"/>
    <s v="397-25-8725"/>
    <x v="0"/>
    <x v="0"/>
    <x v="0"/>
    <x v="0"/>
    <n v="39.619999999999997"/>
    <x v="9"/>
    <n v="17.829000000000001"/>
    <n v="374.40899999999999"/>
  </r>
  <r>
    <x v="0"/>
    <s v="431-66-2305"/>
    <x v="2"/>
    <x v="2"/>
    <x v="1"/>
    <x v="1"/>
    <n v="88.25"/>
    <x v="9"/>
    <n v="39.712500000000006"/>
    <n v="833.96249999999998"/>
  </r>
  <r>
    <x v="0"/>
    <s v="756-93-1854"/>
    <x v="1"/>
    <x v="1"/>
    <x v="0"/>
    <x v="4"/>
    <n v="83.35"/>
    <x v="4"/>
    <n v="8.3349999999999991"/>
    <n v="175.035"/>
  </r>
  <r>
    <x v="0"/>
    <s v="243-55-8457"/>
    <x v="0"/>
    <x v="0"/>
    <x v="1"/>
    <x v="3"/>
    <n v="74.44"/>
    <x v="3"/>
    <n v="37.22"/>
    <n v="781.62"/>
  </r>
  <r>
    <x v="0"/>
    <s v="501-61-1753"/>
    <x v="2"/>
    <x v="2"/>
    <x v="1"/>
    <x v="2"/>
    <n v="63.15"/>
    <x v="2"/>
    <n v="18.945"/>
    <n v="397.84499999999997"/>
  </r>
  <r>
    <x v="0"/>
    <s v="433-08-7822"/>
    <x v="1"/>
    <x v="1"/>
    <x v="1"/>
    <x v="0"/>
    <n v="78.89"/>
    <x v="0"/>
    <n v="27.611500000000003"/>
    <n v="579.8415"/>
  </r>
  <r>
    <x v="0"/>
    <s v="361-85-2571"/>
    <x v="0"/>
    <x v="0"/>
    <x v="1"/>
    <x v="5"/>
    <n v="89.48"/>
    <x v="1"/>
    <n v="22.370000000000005"/>
    <n v="469.77000000000004"/>
  </r>
  <r>
    <x v="0"/>
    <s v="131-70-8179"/>
    <x v="0"/>
    <x v="0"/>
    <x v="0"/>
    <x v="0"/>
    <n v="92.09"/>
    <x v="5"/>
    <n v="13.813499999999999"/>
    <n v="290.08349999999996"/>
  </r>
  <r>
    <x v="0"/>
    <s v="500-02-2261"/>
    <x v="1"/>
    <x v="1"/>
    <x v="1"/>
    <x v="3"/>
    <n v="57.29"/>
    <x v="2"/>
    <n v="17.187000000000001"/>
    <n v="360.92700000000002"/>
  </r>
  <r>
    <x v="0"/>
    <s v="809-69-9497"/>
    <x v="0"/>
    <x v="0"/>
    <x v="1"/>
    <x v="2"/>
    <n v="45.68"/>
    <x v="3"/>
    <n v="22.840000000000003"/>
    <n v="479.64"/>
  </r>
  <r>
    <x v="0"/>
    <s v="489-82-1237"/>
    <x v="0"/>
    <x v="0"/>
    <x v="1"/>
    <x v="1"/>
    <n v="93.88"/>
    <x v="0"/>
    <n v="32.857999999999997"/>
    <n v="690.01799999999992"/>
  </r>
  <r>
    <x v="0"/>
    <s v="365-16-4334"/>
    <x v="2"/>
    <x v="2"/>
    <x v="1"/>
    <x v="3"/>
    <n v="26.43"/>
    <x v="7"/>
    <n v="10.572000000000001"/>
    <n v="222.012"/>
  </r>
  <r>
    <x v="0"/>
    <s v="305-89-2768"/>
    <x v="2"/>
    <x v="2"/>
    <x v="0"/>
    <x v="2"/>
    <n v="21.9"/>
    <x v="5"/>
    <n v="3.2849999999999997"/>
    <n v="68.984999999999985"/>
  </r>
  <r>
    <x v="0"/>
    <s v="574-80-1489"/>
    <x v="2"/>
    <x v="2"/>
    <x v="0"/>
    <x v="3"/>
    <n v="62.85"/>
    <x v="6"/>
    <n v="12.57"/>
    <n v="263.97000000000003"/>
  </r>
  <r>
    <x v="0"/>
    <s v="784-08-0310"/>
    <x v="1"/>
    <x v="1"/>
    <x v="0"/>
    <x v="3"/>
    <n v="21.04"/>
    <x v="6"/>
    <n v="4.2080000000000002"/>
    <n v="88.367999999999995"/>
  </r>
  <r>
    <x v="0"/>
    <s v="846-10-0341"/>
    <x v="0"/>
    <x v="0"/>
    <x v="1"/>
    <x v="4"/>
    <n v="42.57"/>
    <x v="0"/>
    <n v="14.899500000000002"/>
    <n v="312.8895"/>
  </r>
  <r>
    <x v="0"/>
    <s v="867-47-1948"/>
    <x v="1"/>
    <x v="1"/>
    <x v="1"/>
    <x v="2"/>
    <n v="15.8"/>
    <x v="3"/>
    <n v="7.9"/>
    <n v="165.9"/>
  </r>
  <r>
    <x v="0"/>
    <s v="384-59-6655"/>
    <x v="0"/>
    <x v="0"/>
    <x v="0"/>
    <x v="3"/>
    <n v="98.66"/>
    <x v="9"/>
    <n v="44.396999999999998"/>
    <n v="932.33699999999999"/>
  </r>
  <r>
    <x v="0"/>
    <s v="593-08-5916"/>
    <x v="0"/>
    <x v="0"/>
    <x v="1"/>
    <x v="4"/>
    <n v="15.5"/>
    <x v="8"/>
    <n v="0.77500000000000002"/>
    <n v="16.274999999999999"/>
  </r>
  <r>
    <x v="0"/>
    <s v="172-42-8274"/>
    <x v="2"/>
    <x v="2"/>
    <x v="1"/>
    <x v="1"/>
    <n v="38.270000000000003"/>
    <x v="4"/>
    <n v="3.8270000000000004"/>
    <n v="80.367000000000004"/>
  </r>
  <r>
    <x v="0"/>
    <s v="558-60-5016"/>
    <x v="0"/>
    <x v="0"/>
    <x v="1"/>
    <x v="2"/>
    <n v="33.299999999999997"/>
    <x v="9"/>
    <n v="14.984999999999999"/>
    <n v="314.685"/>
  </r>
  <r>
    <x v="0"/>
    <s v="605-03-2706"/>
    <x v="0"/>
    <x v="0"/>
    <x v="1"/>
    <x v="0"/>
    <n v="15.8"/>
    <x v="5"/>
    <n v="2.3700000000000006"/>
    <n v="49.77"/>
  </r>
  <r>
    <x v="0"/>
    <s v="214-30-2776"/>
    <x v="2"/>
    <x v="2"/>
    <x v="0"/>
    <x v="1"/>
    <n v="34.49"/>
    <x v="1"/>
    <n v="8.6225000000000005"/>
    <n v="181.07250000000002"/>
  </r>
  <r>
    <x v="0"/>
    <s v="746-04-1077"/>
    <x v="2"/>
    <x v="2"/>
    <x v="0"/>
    <x v="3"/>
    <n v="84.63"/>
    <x v="3"/>
    <n v="42.314999999999998"/>
    <n v="888.61500000000001"/>
  </r>
  <r>
    <x v="0"/>
    <s v="221-25-5073"/>
    <x v="0"/>
    <x v="0"/>
    <x v="1"/>
    <x v="3"/>
    <n v="74.66"/>
    <x v="6"/>
    <n v="14.932"/>
    <n v="313.572"/>
  </r>
  <r>
    <x v="0"/>
    <s v="156-20-0370"/>
    <x v="2"/>
    <x v="2"/>
    <x v="1"/>
    <x v="1"/>
    <n v="25.45"/>
    <x v="8"/>
    <n v="1.2725"/>
    <n v="26.7225"/>
  </r>
  <r>
    <x v="0"/>
    <s v="151-33-7434"/>
    <x v="2"/>
    <x v="2"/>
    <x v="1"/>
    <x v="3"/>
    <n v="67.77"/>
    <x v="8"/>
    <n v="3.3885000000000001"/>
    <n v="71.158499999999989"/>
  </r>
  <r>
    <x v="0"/>
    <s v="139-32-4183"/>
    <x v="0"/>
    <x v="0"/>
    <x v="0"/>
    <x v="5"/>
    <n v="97.48"/>
    <x v="9"/>
    <n v="43.866000000000007"/>
    <n v="921.18600000000004"/>
  </r>
  <r>
    <x v="0"/>
    <s v="374-38-5555"/>
    <x v="2"/>
    <x v="2"/>
    <x v="1"/>
    <x v="4"/>
    <n v="63.71"/>
    <x v="1"/>
    <n v="15.927500000000002"/>
    <n v="334.47750000000002"/>
  </r>
  <r>
    <x v="0"/>
    <s v="764-44-8999"/>
    <x v="2"/>
    <x v="2"/>
    <x v="1"/>
    <x v="0"/>
    <n v="14.76"/>
    <x v="4"/>
    <n v="1.476"/>
    <n v="30.995999999999999"/>
  </r>
  <r>
    <x v="0"/>
    <s v="886-18-2897"/>
    <x v="0"/>
    <x v="0"/>
    <x v="1"/>
    <x v="3"/>
    <n v="56.56"/>
    <x v="1"/>
    <n v="14.14"/>
    <n v="296.94"/>
  </r>
  <r>
    <x v="0"/>
    <s v="602-16-6955"/>
    <x v="2"/>
    <x v="2"/>
    <x v="1"/>
    <x v="5"/>
    <n v="76.599999999999994"/>
    <x v="3"/>
    <n v="38.300000000000004"/>
    <n v="804.3"/>
  </r>
  <r>
    <x v="0"/>
    <s v="652-49-6720"/>
    <x v="1"/>
    <x v="1"/>
    <x v="0"/>
    <x v="1"/>
    <n v="60.95"/>
    <x v="8"/>
    <n v="3.0475000000000003"/>
    <n v="63.997500000000002"/>
  </r>
  <r>
    <x v="0"/>
    <s v="303-96-2227"/>
    <x v="2"/>
    <x v="2"/>
    <x v="1"/>
    <x v="2"/>
    <n v="97.38"/>
    <x v="3"/>
    <n v="48.69"/>
    <n v="1022.49"/>
  </r>
  <r>
    <x v="0"/>
    <s v="849-09-3807"/>
    <x v="0"/>
    <x v="0"/>
    <x v="0"/>
    <x v="4"/>
    <n v="88.34"/>
    <x v="0"/>
    <n v="30.919"/>
    <n v="649.29899999999998"/>
  </r>
  <r>
    <x v="1"/>
    <s v="631-41-3108"/>
    <x v="0"/>
    <x v="0"/>
    <x v="1"/>
    <x v="2"/>
    <n v="46.33"/>
    <x v="0"/>
    <n v="16.215500000000002"/>
    <n v="340.52550000000002"/>
  </r>
  <r>
    <x v="1"/>
    <s v="123-19-1176"/>
    <x v="0"/>
    <x v="0"/>
    <x v="0"/>
    <x v="0"/>
    <n v="58.22"/>
    <x v="7"/>
    <n v="23.288"/>
    <n v="489.048"/>
  </r>
  <r>
    <x v="1"/>
    <s v="373-73-7910"/>
    <x v="0"/>
    <x v="0"/>
    <x v="1"/>
    <x v="5"/>
    <n v="86.31"/>
    <x v="0"/>
    <n v="30.208500000000004"/>
    <n v="634.37850000000003"/>
  </r>
  <r>
    <x v="1"/>
    <s v="699-14-3026"/>
    <x v="1"/>
    <x v="1"/>
    <x v="1"/>
    <x v="1"/>
    <n v="85.39"/>
    <x v="0"/>
    <n v="29.886500000000002"/>
    <n v="627.61649999999997"/>
  </r>
  <r>
    <x v="1"/>
    <s v="529-56-3974"/>
    <x v="2"/>
    <x v="2"/>
    <x v="0"/>
    <x v="1"/>
    <n v="25.51"/>
    <x v="6"/>
    <n v="5.1020000000000003"/>
    <n v="107.14200000000001"/>
  </r>
  <r>
    <x v="1"/>
    <s v="252-56-2699"/>
    <x v="0"/>
    <x v="0"/>
    <x v="1"/>
    <x v="3"/>
    <n v="43.19"/>
    <x v="3"/>
    <n v="21.594999999999999"/>
    <n v="453.495"/>
  </r>
  <r>
    <x v="1"/>
    <s v="765-26-6951"/>
    <x v="0"/>
    <x v="0"/>
    <x v="1"/>
    <x v="5"/>
    <n v="72.61"/>
    <x v="2"/>
    <n v="21.783000000000001"/>
    <n v="457.44299999999998"/>
  </r>
  <r>
    <x v="1"/>
    <s v="329-62-1586"/>
    <x v="0"/>
    <x v="0"/>
    <x v="1"/>
    <x v="3"/>
    <n v="54.67"/>
    <x v="5"/>
    <n v="8.2004999999999999"/>
    <n v="172.2105"/>
  </r>
  <r>
    <x v="1"/>
    <s v="300-71-4605"/>
    <x v="1"/>
    <x v="1"/>
    <x v="0"/>
    <x v="1"/>
    <n v="86.04"/>
    <x v="1"/>
    <n v="21.510000000000005"/>
    <n v="451.71000000000004"/>
  </r>
  <r>
    <x v="1"/>
    <s v="371-85-5789"/>
    <x v="2"/>
    <x v="2"/>
    <x v="1"/>
    <x v="0"/>
    <n v="87.98"/>
    <x v="5"/>
    <n v="13.197000000000001"/>
    <n v="277.137"/>
  </r>
  <r>
    <x v="1"/>
    <s v="273-16-6619"/>
    <x v="2"/>
    <x v="2"/>
    <x v="1"/>
    <x v="2"/>
    <n v="33.200000000000003"/>
    <x v="4"/>
    <n v="3.3200000000000003"/>
    <n v="69.72"/>
  </r>
  <r>
    <x v="1"/>
    <s v="636-48-8204"/>
    <x v="0"/>
    <x v="0"/>
    <x v="1"/>
    <x v="1"/>
    <n v="34.56"/>
    <x v="1"/>
    <n v="8.64"/>
    <n v="181.44"/>
  </r>
  <r>
    <x v="1"/>
    <s v="549-59-1358"/>
    <x v="0"/>
    <x v="0"/>
    <x v="0"/>
    <x v="5"/>
    <n v="88.63"/>
    <x v="5"/>
    <n v="13.294499999999999"/>
    <n v="279.18449999999996"/>
  </r>
  <r>
    <x v="1"/>
    <s v="649-29-6775"/>
    <x v="2"/>
    <x v="2"/>
    <x v="1"/>
    <x v="4"/>
    <n v="33.520000000000003"/>
    <x v="8"/>
    <n v="1.6760000000000002"/>
    <n v="35.196000000000005"/>
  </r>
  <r>
    <x v="1"/>
    <s v="848-62-7243"/>
    <x v="0"/>
    <x v="0"/>
    <x v="1"/>
    <x v="0"/>
    <n v="24.89"/>
    <x v="9"/>
    <n v="11.2005"/>
    <n v="235.2105"/>
  </r>
  <r>
    <x v="1"/>
    <s v="871-79-8483"/>
    <x v="2"/>
    <x v="2"/>
    <x v="1"/>
    <x v="4"/>
    <n v="94.13"/>
    <x v="1"/>
    <n v="23.532499999999999"/>
    <n v="494.1825"/>
  </r>
  <r>
    <x v="1"/>
    <s v="149-71-6266"/>
    <x v="2"/>
    <x v="2"/>
    <x v="0"/>
    <x v="5"/>
    <n v="78.069999999999993"/>
    <x v="9"/>
    <n v="35.131499999999996"/>
    <n v="737.76149999999984"/>
  </r>
  <r>
    <x v="1"/>
    <s v="640-49-2076"/>
    <x v="2"/>
    <x v="2"/>
    <x v="1"/>
    <x v="5"/>
    <n v="83.78"/>
    <x v="7"/>
    <n v="33.512"/>
    <n v="703.75199999999995"/>
  </r>
  <r>
    <x v="1"/>
    <s v="595-11-5460"/>
    <x v="0"/>
    <x v="0"/>
    <x v="1"/>
    <x v="0"/>
    <n v="96.58"/>
    <x v="4"/>
    <n v="9.6580000000000013"/>
    <n v="202.81799999999998"/>
  </r>
  <r>
    <x v="1"/>
    <s v="129-29-8530"/>
    <x v="0"/>
    <x v="0"/>
    <x v="0"/>
    <x v="5"/>
    <n v="62.62"/>
    <x v="1"/>
    <n v="15.654999999999999"/>
    <n v="328.75499999999994"/>
  </r>
  <r>
    <x v="1"/>
    <s v="777-82-7220"/>
    <x v="2"/>
    <x v="2"/>
    <x v="0"/>
    <x v="2"/>
    <n v="30.12"/>
    <x v="7"/>
    <n v="12.048000000000002"/>
    <n v="253.00800000000001"/>
  </r>
  <r>
    <x v="1"/>
    <s v="554-53-8700"/>
    <x v="1"/>
    <x v="1"/>
    <x v="0"/>
    <x v="2"/>
    <n v="56.11"/>
    <x v="4"/>
    <n v="5.6110000000000007"/>
    <n v="117.831"/>
  </r>
  <r>
    <x v="1"/>
    <s v="617-15-4209"/>
    <x v="1"/>
    <x v="1"/>
    <x v="0"/>
    <x v="0"/>
    <n v="15.37"/>
    <x v="4"/>
    <n v="1.5369999999999999"/>
    <n v="32.277000000000001"/>
  </r>
  <r>
    <x v="1"/>
    <s v="370-41-7321"/>
    <x v="2"/>
    <x v="2"/>
    <x v="0"/>
    <x v="0"/>
    <n v="56.69"/>
    <x v="9"/>
    <n v="25.5105"/>
    <n v="535.72050000000002"/>
  </r>
  <r>
    <x v="1"/>
    <s v="669-54-1719"/>
    <x v="2"/>
    <x v="2"/>
    <x v="0"/>
    <x v="1"/>
    <n v="18.93"/>
    <x v="2"/>
    <n v="5.6790000000000003"/>
    <n v="119.259"/>
  </r>
  <r>
    <x v="1"/>
    <s v="326-78-5178"/>
    <x v="1"/>
    <x v="1"/>
    <x v="0"/>
    <x v="3"/>
    <n v="91.4"/>
    <x v="0"/>
    <n v="31.990000000000006"/>
    <n v="671.79000000000008"/>
  </r>
  <r>
    <x v="1"/>
    <s v="778-71-5554"/>
    <x v="1"/>
    <x v="1"/>
    <x v="0"/>
    <x v="4"/>
    <n v="15.43"/>
    <x v="8"/>
    <n v="0.77150000000000007"/>
    <n v="16.201499999999999"/>
  </r>
  <r>
    <x v="1"/>
    <s v="242-55-6721"/>
    <x v="2"/>
    <x v="2"/>
    <x v="1"/>
    <x v="2"/>
    <n v="16.16"/>
    <x v="4"/>
    <n v="1.6160000000000001"/>
    <n v="33.936"/>
  </r>
  <r>
    <x v="1"/>
    <s v="106-35-6779"/>
    <x v="0"/>
    <x v="0"/>
    <x v="0"/>
    <x v="2"/>
    <n v="44.34"/>
    <x v="4"/>
    <n v="4.4340000000000002"/>
    <n v="93.114000000000004"/>
  </r>
  <r>
    <x v="1"/>
    <s v="635-40-6220"/>
    <x v="0"/>
    <x v="0"/>
    <x v="1"/>
    <x v="0"/>
    <n v="89.6"/>
    <x v="7"/>
    <n v="35.839999999999996"/>
    <n v="752.64"/>
  </r>
  <r>
    <x v="1"/>
    <s v="120-06-4233"/>
    <x v="1"/>
    <x v="1"/>
    <x v="1"/>
    <x v="1"/>
    <n v="30.61"/>
    <x v="2"/>
    <n v="9.1829999999999998"/>
    <n v="192.84299999999999"/>
  </r>
  <r>
    <x v="1"/>
    <s v="803-83-5989"/>
    <x v="1"/>
    <x v="1"/>
    <x v="1"/>
    <x v="2"/>
    <n v="55.73"/>
    <x v="2"/>
    <n v="16.719000000000001"/>
    <n v="351.09899999999999"/>
  </r>
  <r>
    <x v="1"/>
    <s v="199-75-8169"/>
    <x v="0"/>
    <x v="0"/>
    <x v="0"/>
    <x v="5"/>
    <n v="15.81"/>
    <x v="3"/>
    <n v="7.9050000000000002"/>
    <n v="166.005"/>
  </r>
  <r>
    <x v="1"/>
    <s v="853-23-2453"/>
    <x v="2"/>
    <x v="2"/>
    <x v="0"/>
    <x v="0"/>
    <n v="75.739999999999995"/>
    <x v="6"/>
    <n v="15.148"/>
    <n v="318.108"/>
  </r>
  <r>
    <x v="1"/>
    <s v="877-22-3308"/>
    <x v="0"/>
    <x v="0"/>
    <x v="0"/>
    <x v="0"/>
    <n v="15.87"/>
    <x v="3"/>
    <n v="7.9349999999999996"/>
    <n v="166.63499999999999"/>
  </r>
  <r>
    <x v="1"/>
    <s v="232-11-3025"/>
    <x v="0"/>
    <x v="0"/>
    <x v="1"/>
    <x v="5"/>
    <n v="78.77"/>
    <x v="3"/>
    <n v="39.384999999999998"/>
    <n v="827.08499999999992"/>
  </r>
  <r>
    <x v="1"/>
    <s v="393-65-2792"/>
    <x v="1"/>
    <x v="1"/>
    <x v="1"/>
    <x v="3"/>
    <n v="89.48"/>
    <x v="3"/>
    <n v="44.740000000000009"/>
    <n v="939.54000000000008"/>
  </r>
  <r>
    <x v="1"/>
    <s v="796-12-2025"/>
    <x v="1"/>
    <x v="1"/>
    <x v="1"/>
    <x v="4"/>
    <n v="62.12"/>
    <x v="3"/>
    <n v="31.06"/>
    <n v="652.25999999999988"/>
  </r>
  <r>
    <x v="1"/>
    <s v="287-21-9091"/>
    <x v="0"/>
    <x v="0"/>
    <x v="1"/>
    <x v="2"/>
    <n v="74.67"/>
    <x v="9"/>
    <n v="33.601500000000001"/>
    <n v="705.63149999999996"/>
  </r>
  <r>
    <x v="1"/>
    <s v="263-10-3913"/>
    <x v="1"/>
    <x v="1"/>
    <x v="0"/>
    <x v="4"/>
    <n v="49.04"/>
    <x v="9"/>
    <n v="22.068000000000001"/>
    <n v="463.428"/>
  </r>
  <r>
    <x v="1"/>
    <s v="480-63-2856"/>
    <x v="1"/>
    <x v="1"/>
    <x v="1"/>
    <x v="3"/>
    <n v="19.25"/>
    <x v="7"/>
    <n v="7.7"/>
    <n v="161.69999999999999"/>
  </r>
  <r>
    <x v="1"/>
    <s v="360-39-5055"/>
    <x v="1"/>
    <x v="1"/>
    <x v="0"/>
    <x v="5"/>
    <n v="48.91"/>
    <x v="1"/>
    <n v="12.227499999999999"/>
    <n v="256.77749999999997"/>
  </r>
  <r>
    <x v="1"/>
    <s v="362-58-8315"/>
    <x v="1"/>
    <x v="1"/>
    <x v="1"/>
    <x v="4"/>
    <n v="76.52"/>
    <x v="1"/>
    <n v="19.13"/>
    <n v="401.72999999999996"/>
  </r>
  <r>
    <x v="1"/>
    <s v="633-44-8566"/>
    <x v="0"/>
    <x v="0"/>
    <x v="0"/>
    <x v="3"/>
    <n v="49.38"/>
    <x v="0"/>
    <n v="17.283000000000001"/>
    <n v="362.94300000000004"/>
  </r>
  <r>
    <x v="1"/>
    <s v="504-35-8843"/>
    <x v="0"/>
    <x v="0"/>
    <x v="1"/>
    <x v="5"/>
    <n v="42.47"/>
    <x v="8"/>
    <n v="2.1234999999999999"/>
    <n v="44.593499999999999"/>
  </r>
  <r>
    <x v="1"/>
    <s v="152-08-9985"/>
    <x v="2"/>
    <x v="2"/>
    <x v="0"/>
    <x v="0"/>
    <n v="64.36"/>
    <x v="9"/>
    <n v="28.962000000000003"/>
    <n v="608.202"/>
  </r>
  <r>
    <x v="1"/>
    <s v="512-91-0811"/>
    <x v="1"/>
    <x v="1"/>
    <x v="1"/>
    <x v="0"/>
    <n v="89.75"/>
    <x v="8"/>
    <n v="4.4874999999999998"/>
    <n v="94.237499999999997"/>
  </r>
  <r>
    <x v="1"/>
    <s v="594-34-4444"/>
    <x v="0"/>
    <x v="0"/>
    <x v="1"/>
    <x v="1"/>
    <n v="97.16"/>
    <x v="8"/>
    <n v="4.8580000000000005"/>
    <n v="102.018"/>
  </r>
  <r>
    <x v="1"/>
    <s v="766-85-7061"/>
    <x v="2"/>
    <x v="2"/>
    <x v="1"/>
    <x v="0"/>
    <n v="87.87"/>
    <x v="3"/>
    <n v="43.935000000000002"/>
    <n v="922.63499999999999"/>
  </r>
  <r>
    <x v="1"/>
    <s v="865-92-6136"/>
    <x v="0"/>
    <x v="0"/>
    <x v="1"/>
    <x v="3"/>
    <n v="52.75"/>
    <x v="5"/>
    <n v="7.9125000000000005"/>
    <n v="166.16249999999999"/>
  </r>
  <r>
    <x v="1"/>
    <s v="733-01-9107"/>
    <x v="2"/>
    <x v="2"/>
    <x v="1"/>
    <x v="2"/>
    <n v="82.7"/>
    <x v="2"/>
    <n v="24.810000000000002"/>
    <n v="521.01"/>
  </r>
  <r>
    <x v="1"/>
    <s v="163-56-7055"/>
    <x v="1"/>
    <x v="1"/>
    <x v="0"/>
    <x v="4"/>
    <n v="48.71"/>
    <x v="8"/>
    <n v="2.4355000000000002"/>
    <n v="51.145499999999998"/>
  </r>
  <r>
    <x v="1"/>
    <s v="189-98-2939"/>
    <x v="1"/>
    <x v="1"/>
    <x v="1"/>
    <x v="4"/>
    <n v="78.55"/>
    <x v="9"/>
    <n v="35.347499999999997"/>
    <n v="742.2974999999999"/>
  </r>
  <r>
    <x v="1"/>
    <s v="212-62-1842"/>
    <x v="0"/>
    <x v="0"/>
    <x v="1"/>
    <x v="3"/>
    <n v="58.26"/>
    <x v="2"/>
    <n v="17.478000000000002"/>
    <n v="367.03800000000001"/>
  </r>
  <r>
    <x v="1"/>
    <s v="716-39-1409"/>
    <x v="2"/>
    <x v="2"/>
    <x v="1"/>
    <x v="0"/>
    <n v="30.35"/>
    <x v="0"/>
    <n v="10.622500000000002"/>
    <n v="223.07250000000002"/>
  </r>
  <r>
    <x v="1"/>
    <s v="704-48-3927"/>
    <x v="0"/>
    <x v="0"/>
    <x v="0"/>
    <x v="1"/>
    <n v="88.67"/>
    <x v="3"/>
    <n v="44.335000000000008"/>
    <n v="931.03500000000008"/>
  </r>
  <r>
    <x v="1"/>
    <s v="628-34-3388"/>
    <x v="1"/>
    <x v="1"/>
    <x v="1"/>
    <x v="4"/>
    <n v="27.38"/>
    <x v="2"/>
    <n v="8.2140000000000004"/>
    <n v="172.494"/>
  </r>
  <r>
    <x v="1"/>
    <s v="630-74-5166"/>
    <x v="0"/>
    <x v="0"/>
    <x v="1"/>
    <x v="5"/>
    <n v="62.13"/>
    <x v="2"/>
    <n v="18.639000000000003"/>
    <n v="391.41900000000004"/>
  </r>
  <r>
    <x v="1"/>
    <s v="861-77-0145"/>
    <x v="1"/>
    <x v="1"/>
    <x v="0"/>
    <x v="1"/>
    <n v="81.97"/>
    <x v="3"/>
    <n v="40.985000000000007"/>
    <n v="860.68500000000006"/>
  </r>
  <r>
    <x v="1"/>
    <s v="645-44-1170"/>
    <x v="0"/>
    <x v="0"/>
    <x v="0"/>
    <x v="2"/>
    <n v="58.07"/>
    <x v="9"/>
    <n v="26.131500000000003"/>
    <n v="548.76149999999996"/>
  </r>
  <r>
    <x v="1"/>
    <s v="291-32-1427"/>
    <x v="2"/>
    <x v="2"/>
    <x v="0"/>
    <x v="4"/>
    <n v="21.94"/>
    <x v="1"/>
    <n v="5.4850000000000003"/>
    <n v="115.185"/>
  </r>
  <r>
    <x v="1"/>
    <s v="659-65-8956"/>
    <x v="2"/>
    <x v="2"/>
    <x v="0"/>
    <x v="4"/>
    <n v="51.36"/>
    <x v="8"/>
    <n v="2.5680000000000001"/>
    <n v="53.927999999999997"/>
  </r>
  <r>
    <x v="1"/>
    <s v="378-24-2715"/>
    <x v="2"/>
    <x v="2"/>
    <x v="1"/>
    <x v="2"/>
    <n v="53.44"/>
    <x v="4"/>
    <n v="5.3440000000000003"/>
    <n v="112.22399999999999"/>
  </r>
  <r>
    <x v="1"/>
    <s v="659-36-1684"/>
    <x v="1"/>
    <x v="1"/>
    <x v="0"/>
    <x v="5"/>
    <n v="57.12"/>
    <x v="0"/>
    <n v="19.992000000000001"/>
    <n v="419.83199999999999"/>
  </r>
  <r>
    <x v="1"/>
    <s v="219-22-9386"/>
    <x v="2"/>
    <x v="2"/>
    <x v="0"/>
    <x v="5"/>
    <n v="99.96"/>
    <x v="9"/>
    <n v="44.981999999999999"/>
    <n v="944.62199999999996"/>
  </r>
  <r>
    <x v="1"/>
    <s v="336-78-2147"/>
    <x v="1"/>
    <x v="1"/>
    <x v="0"/>
    <x v="2"/>
    <n v="63.91"/>
    <x v="7"/>
    <n v="25.564"/>
    <n v="536.84399999999994"/>
  </r>
  <r>
    <x v="1"/>
    <s v="590-83-4591"/>
    <x v="2"/>
    <x v="2"/>
    <x v="0"/>
    <x v="1"/>
    <n v="87.45"/>
    <x v="2"/>
    <n v="26.235000000000003"/>
    <n v="550.93500000000006"/>
  </r>
  <r>
    <x v="1"/>
    <s v="597-78-7908"/>
    <x v="1"/>
    <x v="1"/>
    <x v="1"/>
    <x v="4"/>
    <n v="90.22"/>
    <x v="5"/>
    <n v="13.532999999999999"/>
    <n v="284.19299999999998"/>
  </r>
  <r>
    <x v="1"/>
    <s v="241-72-9525"/>
    <x v="2"/>
    <x v="2"/>
    <x v="1"/>
    <x v="5"/>
    <n v="51.91"/>
    <x v="3"/>
    <n v="25.954999999999998"/>
    <n v="545.05499999999995"/>
  </r>
  <r>
    <x v="1"/>
    <s v="575-30-8091"/>
    <x v="0"/>
    <x v="0"/>
    <x v="1"/>
    <x v="5"/>
    <n v="72.5"/>
    <x v="7"/>
    <n v="29"/>
    <n v="609"/>
  </r>
  <r>
    <x v="1"/>
    <s v="280-17-4359"/>
    <x v="1"/>
    <x v="1"/>
    <x v="0"/>
    <x v="0"/>
    <n v="90.5"/>
    <x v="3"/>
    <n v="45.25"/>
    <n v="950.25"/>
  </r>
  <r>
    <x v="1"/>
    <s v="568-90-5112"/>
    <x v="1"/>
    <x v="1"/>
    <x v="1"/>
    <x v="0"/>
    <n v="66.14"/>
    <x v="6"/>
    <n v="13.228000000000002"/>
    <n v="277.78800000000001"/>
  </r>
  <r>
    <x v="1"/>
    <s v="262-47-2794"/>
    <x v="2"/>
    <x v="2"/>
    <x v="0"/>
    <x v="2"/>
    <n v="71.86"/>
    <x v="7"/>
    <n v="28.744"/>
    <n v="603.62400000000002"/>
  </r>
  <r>
    <x v="1"/>
    <s v="238-49-0436"/>
    <x v="0"/>
    <x v="0"/>
    <x v="1"/>
    <x v="0"/>
    <n v="32.46"/>
    <x v="7"/>
    <n v="12.984000000000002"/>
    <n v="272.66399999999999"/>
  </r>
  <r>
    <x v="1"/>
    <s v="584-86-7256"/>
    <x v="1"/>
    <x v="1"/>
    <x v="0"/>
    <x v="5"/>
    <n v="34.56"/>
    <x v="0"/>
    <n v="12.096000000000002"/>
    <n v="254.01600000000002"/>
  </r>
  <r>
    <x v="1"/>
    <s v="746-94-0204"/>
    <x v="0"/>
    <x v="0"/>
    <x v="1"/>
    <x v="4"/>
    <n v="83.24"/>
    <x v="9"/>
    <n v="37.457999999999998"/>
    <n v="786.61799999999994"/>
  </r>
  <r>
    <x v="1"/>
    <s v="782-95-9291"/>
    <x v="0"/>
    <x v="0"/>
    <x v="0"/>
    <x v="3"/>
    <n v="92.29"/>
    <x v="1"/>
    <n v="23.072500000000005"/>
    <n v="484.52250000000004"/>
  </r>
  <r>
    <x v="1"/>
    <s v="279-74-2924"/>
    <x v="2"/>
    <x v="2"/>
    <x v="0"/>
    <x v="1"/>
    <n v="72.17"/>
    <x v="8"/>
    <n v="3.6085000000000003"/>
    <n v="75.778500000000008"/>
  </r>
  <r>
    <x v="1"/>
    <s v="307-85-2293"/>
    <x v="2"/>
    <x v="2"/>
    <x v="1"/>
    <x v="2"/>
    <n v="50.28"/>
    <x v="1"/>
    <n v="12.57"/>
    <n v="263.97000000000003"/>
  </r>
  <r>
    <x v="1"/>
    <s v="743-04-1105"/>
    <x v="2"/>
    <x v="2"/>
    <x v="0"/>
    <x v="0"/>
    <n v="97.22"/>
    <x v="9"/>
    <n v="43.749000000000002"/>
    <n v="918.72900000000004"/>
  </r>
  <r>
    <x v="1"/>
    <s v="423-57-2993"/>
    <x v="2"/>
    <x v="2"/>
    <x v="1"/>
    <x v="5"/>
    <n v="93.39"/>
    <x v="2"/>
    <n v="28.017000000000003"/>
    <n v="588.35700000000008"/>
  </r>
  <r>
    <x v="1"/>
    <s v="275-28-0149"/>
    <x v="0"/>
    <x v="0"/>
    <x v="1"/>
    <x v="5"/>
    <n v="63.69"/>
    <x v="8"/>
    <n v="3.1844999999999999"/>
    <n v="66.874499999999998"/>
  </r>
  <r>
    <x v="1"/>
    <s v="101-17-6199"/>
    <x v="0"/>
    <x v="0"/>
    <x v="1"/>
    <x v="3"/>
    <n v="45.79"/>
    <x v="0"/>
    <n v="16.026499999999999"/>
    <n v="336.55649999999997"/>
  </r>
  <r>
    <x v="1"/>
    <s v="423-80-0988"/>
    <x v="1"/>
    <x v="1"/>
    <x v="1"/>
    <x v="5"/>
    <n v="76.400000000000006"/>
    <x v="4"/>
    <n v="7.6400000000000006"/>
    <n v="160.44"/>
  </r>
  <r>
    <x v="1"/>
    <s v="548-46-9322"/>
    <x v="2"/>
    <x v="2"/>
    <x v="1"/>
    <x v="3"/>
    <n v="39.9"/>
    <x v="3"/>
    <n v="19.950000000000003"/>
    <n v="418.95"/>
  </r>
  <r>
    <x v="1"/>
    <s v="505-02-0892"/>
    <x v="2"/>
    <x v="2"/>
    <x v="0"/>
    <x v="0"/>
    <n v="42.57"/>
    <x v="7"/>
    <n v="17.028000000000002"/>
    <n v="357.58800000000002"/>
  </r>
  <r>
    <x v="1"/>
    <s v="234-65-2137"/>
    <x v="1"/>
    <x v="1"/>
    <x v="1"/>
    <x v="2"/>
    <n v="95.58"/>
    <x v="3"/>
    <n v="47.79"/>
    <n v="1003.5899999999999"/>
  </r>
  <r>
    <x v="1"/>
    <s v="687-47-8271"/>
    <x v="0"/>
    <x v="0"/>
    <x v="1"/>
    <x v="4"/>
    <n v="98.98"/>
    <x v="3"/>
    <n v="49.490000000000009"/>
    <n v="1039.29"/>
  </r>
  <r>
    <x v="1"/>
    <s v="796-32-9050"/>
    <x v="0"/>
    <x v="0"/>
    <x v="1"/>
    <x v="3"/>
    <n v="51.28"/>
    <x v="2"/>
    <n v="15.384"/>
    <n v="323.06400000000002"/>
  </r>
  <r>
    <x v="1"/>
    <s v="105-31-1824"/>
    <x v="0"/>
    <x v="0"/>
    <x v="0"/>
    <x v="5"/>
    <n v="69.52"/>
    <x v="0"/>
    <n v="24.332000000000001"/>
    <n v="510.97199999999998"/>
  </r>
  <r>
    <x v="1"/>
    <s v="249-42-3782"/>
    <x v="0"/>
    <x v="0"/>
    <x v="1"/>
    <x v="0"/>
    <n v="70.010000000000005"/>
    <x v="1"/>
    <n v="17.502500000000001"/>
    <n v="367.55250000000001"/>
  </r>
  <r>
    <x v="1"/>
    <s v="316-55-4634"/>
    <x v="2"/>
    <x v="2"/>
    <x v="0"/>
    <x v="3"/>
    <n v="80.05"/>
    <x v="1"/>
    <n v="20.012500000000003"/>
    <n v="420.26249999999999"/>
  </r>
  <r>
    <x v="1"/>
    <s v="733-33-4967"/>
    <x v="1"/>
    <x v="1"/>
    <x v="1"/>
    <x v="1"/>
    <n v="20.85"/>
    <x v="7"/>
    <n v="8.3400000000000016"/>
    <n v="175.14000000000001"/>
  </r>
  <r>
    <x v="1"/>
    <s v="608-27-6295"/>
    <x v="2"/>
    <x v="2"/>
    <x v="0"/>
    <x v="1"/>
    <n v="52.89"/>
    <x v="2"/>
    <n v="15.867000000000003"/>
    <n v="333.20700000000005"/>
  </r>
  <r>
    <x v="1"/>
    <s v="414-12-7047"/>
    <x v="2"/>
    <x v="2"/>
    <x v="1"/>
    <x v="3"/>
    <n v="19.79"/>
    <x v="7"/>
    <n v="7.9160000000000004"/>
    <n v="166.23599999999999"/>
  </r>
  <r>
    <x v="1"/>
    <s v="827-26-2100"/>
    <x v="0"/>
    <x v="0"/>
    <x v="0"/>
    <x v="2"/>
    <n v="33.840000000000003"/>
    <x v="9"/>
    <n v="15.228000000000003"/>
    <n v="319.78800000000007"/>
  </r>
  <r>
    <x v="1"/>
    <s v="175-54-2529"/>
    <x v="0"/>
    <x v="0"/>
    <x v="0"/>
    <x v="3"/>
    <n v="22.17"/>
    <x v="7"/>
    <n v="8.8680000000000003"/>
    <n v="186.22800000000001"/>
  </r>
  <r>
    <x v="1"/>
    <s v="407-63-8975"/>
    <x v="0"/>
    <x v="0"/>
    <x v="1"/>
    <x v="3"/>
    <n v="73.88"/>
    <x v="2"/>
    <n v="22.164000000000001"/>
    <n v="465.44399999999996"/>
  </r>
  <r>
    <x v="1"/>
    <s v="342-65-4817"/>
    <x v="1"/>
    <x v="1"/>
    <x v="0"/>
    <x v="0"/>
    <n v="86.8"/>
    <x v="5"/>
    <n v="13.02"/>
    <n v="273.41999999999996"/>
  </r>
  <r>
    <x v="1"/>
    <s v="130-98-8941"/>
    <x v="1"/>
    <x v="1"/>
    <x v="1"/>
    <x v="4"/>
    <n v="64.260000000000005"/>
    <x v="0"/>
    <n v="22.491000000000003"/>
    <n v="472.31100000000004"/>
  </r>
  <r>
    <x v="1"/>
    <s v="434-83-9547"/>
    <x v="1"/>
    <x v="1"/>
    <x v="0"/>
    <x v="3"/>
    <n v="38.47"/>
    <x v="7"/>
    <n v="15.388"/>
    <n v="323.14799999999997"/>
  </r>
  <r>
    <x v="1"/>
    <s v="851-28-6367"/>
    <x v="0"/>
    <x v="0"/>
    <x v="0"/>
    <x v="5"/>
    <n v="15.5"/>
    <x v="3"/>
    <n v="7.75"/>
    <n v="162.75"/>
  </r>
  <r>
    <x v="1"/>
    <s v="824-88-3614"/>
    <x v="1"/>
    <x v="1"/>
    <x v="1"/>
    <x v="0"/>
    <n v="34.31"/>
    <x v="7"/>
    <n v="13.724000000000002"/>
    <n v="288.20400000000001"/>
  </r>
  <r>
    <x v="1"/>
    <s v="895-66-0685"/>
    <x v="2"/>
    <x v="2"/>
    <x v="0"/>
    <x v="3"/>
    <n v="18.079999999999998"/>
    <x v="5"/>
    <n v="2.7119999999999997"/>
    <n v="56.951999999999998"/>
  </r>
  <r>
    <x v="1"/>
    <s v="732-04-5373"/>
    <x v="2"/>
    <x v="2"/>
    <x v="0"/>
    <x v="2"/>
    <n v="46.47"/>
    <x v="6"/>
    <n v="9.2940000000000005"/>
    <n v="195.17400000000001"/>
  </r>
  <r>
    <x v="1"/>
    <s v="400-60-7251"/>
    <x v="0"/>
    <x v="0"/>
    <x v="1"/>
    <x v="2"/>
    <n v="74.069999999999993"/>
    <x v="8"/>
    <n v="3.7035"/>
    <n v="77.773499999999999"/>
  </r>
  <r>
    <x v="1"/>
    <s v="641-43-2399"/>
    <x v="2"/>
    <x v="2"/>
    <x v="1"/>
    <x v="2"/>
    <n v="25.55"/>
    <x v="6"/>
    <n v="5.1100000000000003"/>
    <n v="107.31"/>
  </r>
  <r>
    <x v="1"/>
    <s v="831-07-6050"/>
    <x v="0"/>
    <x v="0"/>
    <x v="1"/>
    <x v="1"/>
    <n v="32.71"/>
    <x v="1"/>
    <n v="8.1775000000000002"/>
    <n v="171.72750000000002"/>
  </r>
  <r>
    <x v="1"/>
    <s v="848-24-9445"/>
    <x v="1"/>
    <x v="1"/>
    <x v="0"/>
    <x v="0"/>
    <n v="43.7"/>
    <x v="4"/>
    <n v="4.37"/>
    <n v="91.77000000000001"/>
  </r>
  <r>
    <x v="1"/>
    <s v="699-01-4164"/>
    <x v="1"/>
    <x v="1"/>
    <x v="1"/>
    <x v="0"/>
    <n v="41.5"/>
    <x v="6"/>
    <n v="8.3000000000000007"/>
    <n v="174.3"/>
  </r>
  <r>
    <x v="1"/>
    <s v="426-39-2418"/>
    <x v="1"/>
    <x v="1"/>
    <x v="1"/>
    <x v="1"/>
    <n v="61.41"/>
    <x v="0"/>
    <n v="21.493500000000001"/>
    <n v="451.36349999999999"/>
  </r>
  <r>
    <x v="1"/>
    <s v="875-46-5808"/>
    <x v="2"/>
    <x v="2"/>
    <x v="0"/>
    <x v="0"/>
    <n v="25.9"/>
    <x v="3"/>
    <n v="12.950000000000001"/>
    <n v="271.95"/>
  </r>
  <r>
    <x v="1"/>
    <s v="394-43-4238"/>
    <x v="2"/>
    <x v="2"/>
    <x v="0"/>
    <x v="2"/>
    <n v="17.77"/>
    <x v="1"/>
    <n v="4.4424999999999999"/>
    <n v="93.29249999999999"/>
  </r>
  <r>
    <x v="1"/>
    <s v="888-02-0338"/>
    <x v="0"/>
    <x v="0"/>
    <x v="1"/>
    <x v="1"/>
    <n v="26.23"/>
    <x v="9"/>
    <n v="11.8035"/>
    <n v="247.87349999999998"/>
  </r>
  <r>
    <x v="1"/>
    <s v="142-63-6033"/>
    <x v="2"/>
    <x v="2"/>
    <x v="1"/>
    <x v="2"/>
    <n v="92.36"/>
    <x v="1"/>
    <n v="23.090000000000003"/>
    <n v="484.89"/>
  </r>
  <r>
    <x v="1"/>
    <s v="656-16-1063"/>
    <x v="2"/>
    <x v="2"/>
    <x v="1"/>
    <x v="5"/>
    <n v="46.42"/>
    <x v="5"/>
    <n v="6.9630000000000001"/>
    <n v="146.22299999999998"/>
  </r>
  <r>
    <x v="1"/>
    <s v="802-43-8934"/>
    <x v="0"/>
    <x v="0"/>
    <x v="1"/>
    <x v="2"/>
    <n v="18.28"/>
    <x v="8"/>
    <n v="0.91400000000000015"/>
    <n v="19.194000000000003"/>
  </r>
  <r>
    <x v="1"/>
    <s v="549-03-9315"/>
    <x v="2"/>
    <x v="2"/>
    <x v="1"/>
    <x v="4"/>
    <n v="94.87"/>
    <x v="7"/>
    <n v="37.948"/>
    <n v="796.90800000000002"/>
  </r>
  <r>
    <x v="1"/>
    <s v="239-36-3640"/>
    <x v="2"/>
    <x v="2"/>
    <x v="1"/>
    <x v="1"/>
    <n v="45.35"/>
    <x v="2"/>
    <n v="13.605000000000002"/>
    <n v="285.70500000000004"/>
  </r>
  <r>
    <x v="1"/>
    <s v="468-01-2051"/>
    <x v="2"/>
    <x v="2"/>
    <x v="1"/>
    <x v="3"/>
    <n v="62.08"/>
    <x v="0"/>
    <n v="21.728000000000002"/>
    <n v="456.28800000000001"/>
  </r>
  <r>
    <x v="1"/>
    <s v="389-25-3394"/>
    <x v="1"/>
    <x v="1"/>
    <x v="1"/>
    <x v="1"/>
    <n v="11.81"/>
    <x v="1"/>
    <n v="2.9525000000000006"/>
    <n v="62.002500000000005"/>
  </r>
  <r>
    <x v="1"/>
    <s v="213-72-6612"/>
    <x v="0"/>
    <x v="0"/>
    <x v="1"/>
    <x v="3"/>
    <n v="43.25"/>
    <x v="4"/>
    <n v="4.3250000000000002"/>
    <n v="90.825000000000003"/>
  </r>
  <r>
    <x v="1"/>
    <s v="836-82-5858"/>
    <x v="2"/>
    <x v="2"/>
    <x v="0"/>
    <x v="0"/>
    <n v="69.37"/>
    <x v="9"/>
    <n v="31.216500000000003"/>
    <n v="655.54650000000004"/>
  </r>
  <r>
    <x v="1"/>
    <s v="583-72-1480"/>
    <x v="1"/>
    <x v="1"/>
    <x v="0"/>
    <x v="1"/>
    <n v="37.06"/>
    <x v="6"/>
    <n v="7.4120000000000008"/>
    <n v="155.65200000000002"/>
  </r>
  <r>
    <x v="1"/>
    <s v="269-04-5750"/>
    <x v="2"/>
    <x v="2"/>
    <x v="0"/>
    <x v="4"/>
    <n v="73.819999999999993"/>
    <x v="6"/>
    <n v="14.763999999999999"/>
    <n v="310.04399999999998"/>
  </r>
  <r>
    <x v="1"/>
    <s v="157-13-5295"/>
    <x v="0"/>
    <x v="0"/>
    <x v="0"/>
    <x v="0"/>
    <n v="51.94"/>
    <x v="3"/>
    <n v="25.97"/>
    <n v="545.37"/>
  </r>
  <r>
    <x v="1"/>
    <s v="211-30-9270"/>
    <x v="1"/>
    <x v="1"/>
    <x v="1"/>
    <x v="0"/>
    <n v="17.41"/>
    <x v="1"/>
    <n v="4.3525"/>
    <n v="91.402500000000003"/>
  </r>
  <r>
    <x v="1"/>
    <s v="478-06-7835"/>
    <x v="0"/>
    <x v="0"/>
    <x v="1"/>
    <x v="4"/>
    <n v="89.69"/>
    <x v="8"/>
    <n v="4.4844999999999997"/>
    <n v="94.174499999999995"/>
  </r>
  <r>
    <x v="1"/>
    <s v="540-11-4336"/>
    <x v="0"/>
    <x v="0"/>
    <x v="1"/>
    <x v="3"/>
    <n v="24.94"/>
    <x v="9"/>
    <n v="11.223000000000001"/>
    <n v="235.68300000000002"/>
  </r>
  <r>
    <x v="1"/>
    <s v="448-81-5016"/>
    <x v="0"/>
    <x v="0"/>
    <x v="1"/>
    <x v="0"/>
    <n v="59.77"/>
    <x v="4"/>
    <n v="5.9770000000000003"/>
    <n v="125.51700000000001"/>
  </r>
  <r>
    <x v="1"/>
    <s v="142-72-4741"/>
    <x v="1"/>
    <x v="1"/>
    <x v="0"/>
    <x v="4"/>
    <n v="93.2"/>
    <x v="4"/>
    <n v="9.32"/>
    <n v="195.72"/>
  </r>
  <r>
    <x v="1"/>
    <s v="217-58-1179"/>
    <x v="0"/>
    <x v="0"/>
    <x v="0"/>
    <x v="2"/>
    <n v="62.65"/>
    <x v="6"/>
    <n v="12.530000000000001"/>
    <n v="263.13"/>
  </r>
  <r>
    <x v="1"/>
    <s v="376-02-8238"/>
    <x v="2"/>
    <x v="2"/>
    <x v="1"/>
    <x v="2"/>
    <n v="93.87"/>
    <x v="7"/>
    <n v="37.548000000000002"/>
    <n v="788.50800000000004"/>
  </r>
  <r>
    <x v="1"/>
    <s v="530-90-9855"/>
    <x v="0"/>
    <x v="0"/>
    <x v="0"/>
    <x v="2"/>
    <n v="47.59"/>
    <x v="7"/>
    <n v="19.036000000000001"/>
    <n v="399.75600000000003"/>
  </r>
  <r>
    <x v="1"/>
    <s v="604-70-6476"/>
    <x v="0"/>
    <x v="0"/>
    <x v="0"/>
    <x v="4"/>
    <n v="17.940000000000001"/>
    <x v="1"/>
    <n v="4.4850000000000003"/>
    <n v="94.185000000000002"/>
  </r>
  <r>
    <x v="1"/>
    <s v="799-71-1548"/>
    <x v="0"/>
    <x v="0"/>
    <x v="0"/>
    <x v="1"/>
    <n v="77.72"/>
    <x v="6"/>
    <n v="15.544"/>
    <n v="326.42399999999998"/>
  </r>
  <r>
    <x v="1"/>
    <s v="785-13-7708"/>
    <x v="2"/>
    <x v="2"/>
    <x v="1"/>
    <x v="3"/>
    <n v="73.06"/>
    <x v="0"/>
    <n v="25.571000000000002"/>
    <n v="536.99099999999999"/>
  </r>
  <r>
    <x v="1"/>
    <s v="845-51-0542"/>
    <x v="2"/>
    <x v="2"/>
    <x v="0"/>
    <x v="3"/>
    <n v="46.55"/>
    <x v="9"/>
    <n v="20.947500000000002"/>
    <n v="439.89749999999998"/>
  </r>
  <r>
    <x v="1"/>
    <s v="662-47-5456"/>
    <x v="1"/>
    <x v="1"/>
    <x v="0"/>
    <x v="4"/>
    <n v="35.19"/>
    <x v="3"/>
    <n v="17.594999999999999"/>
    <n v="369.495"/>
  </r>
  <r>
    <x v="1"/>
    <s v="290-68-2984"/>
    <x v="0"/>
    <x v="0"/>
    <x v="1"/>
    <x v="2"/>
    <n v="23.75"/>
    <x v="6"/>
    <n v="4.75"/>
    <n v="99.75"/>
  </r>
  <r>
    <x v="1"/>
    <s v="704-11-6354"/>
    <x v="0"/>
    <x v="0"/>
    <x v="0"/>
    <x v="2"/>
    <n v="58.9"/>
    <x v="7"/>
    <n v="23.560000000000002"/>
    <n v="494.76"/>
  </r>
  <r>
    <x v="1"/>
    <s v="110-48-7033"/>
    <x v="2"/>
    <x v="2"/>
    <x v="0"/>
    <x v="4"/>
    <n v="32.619999999999997"/>
    <x v="6"/>
    <n v="6.524"/>
    <n v="137.00399999999999"/>
  </r>
  <r>
    <x v="1"/>
    <s v="366-93-0948"/>
    <x v="0"/>
    <x v="0"/>
    <x v="0"/>
    <x v="1"/>
    <n v="66.349999999999994"/>
    <x v="8"/>
    <n v="3.3174999999999999"/>
    <n v="69.66749999999999"/>
  </r>
  <r>
    <x v="1"/>
    <s v="729-09-9681"/>
    <x v="0"/>
    <x v="0"/>
    <x v="0"/>
    <x v="2"/>
    <n v="25.91"/>
    <x v="2"/>
    <n v="7.7730000000000006"/>
    <n v="163.233"/>
  </r>
  <r>
    <x v="1"/>
    <s v="151-16-1484"/>
    <x v="0"/>
    <x v="0"/>
    <x v="0"/>
    <x v="1"/>
    <n v="32.25"/>
    <x v="6"/>
    <n v="6.45"/>
    <n v="135.44999999999999"/>
  </r>
  <r>
    <x v="1"/>
    <s v="380-94-4661"/>
    <x v="1"/>
    <x v="1"/>
    <x v="0"/>
    <x v="1"/>
    <n v="65.94"/>
    <x v="6"/>
    <n v="13.188000000000001"/>
    <n v="276.94799999999998"/>
  </r>
  <r>
    <x v="1"/>
    <s v="154-74-7179"/>
    <x v="2"/>
    <x v="2"/>
    <x v="1"/>
    <x v="5"/>
    <n v="54.45"/>
    <x v="8"/>
    <n v="2.7225000000000001"/>
    <n v="57.172499999999999"/>
  </r>
  <r>
    <x v="1"/>
    <s v="808-65-0703"/>
    <x v="1"/>
    <x v="1"/>
    <x v="1"/>
    <x v="2"/>
    <n v="35.47"/>
    <x v="6"/>
    <n v="7.0940000000000003"/>
    <n v="148.97399999999999"/>
  </r>
  <r>
    <x v="1"/>
    <s v="144-51-6085"/>
    <x v="0"/>
    <x v="0"/>
    <x v="0"/>
    <x v="2"/>
    <n v="70.739999999999995"/>
    <x v="6"/>
    <n v="14.148"/>
    <n v="297.108"/>
  </r>
  <r>
    <x v="1"/>
    <s v="566-19-5475"/>
    <x v="2"/>
    <x v="2"/>
    <x v="1"/>
    <x v="4"/>
    <n v="47.97"/>
    <x v="0"/>
    <n v="16.7895"/>
    <n v="352.57949999999994"/>
  </r>
  <r>
    <x v="1"/>
    <s v="537-72-0426"/>
    <x v="1"/>
    <x v="1"/>
    <x v="0"/>
    <x v="4"/>
    <n v="70.989999999999995"/>
    <x v="3"/>
    <n v="35.494999999999997"/>
    <n v="745.39499999999998"/>
  </r>
  <r>
    <x v="1"/>
    <s v="828-61-5674"/>
    <x v="0"/>
    <x v="0"/>
    <x v="0"/>
    <x v="5"/>
    <n v="44.02"/>
    <x v="3"/>
    <n v="22.010000000000005"/>
    <n v="462.21000000000004"/>
  </r>
  <r>
    <x v="1"/>
    <s v="523-38-0215"/>
    <x v="1"/>
    <x v="1"/>
    <x v="1"/>
    <x v="2"/>
    <n v="37"/>
    <x v="8"/>
    <n v="1.85"/>
    <n v="38.85"/>
  </r>
  <r>
    <x v="1"/>
    <s v="667-92-0055"/>
    <x v="0"/>
    <x v="0"/>
    <x v="0"/>
    <x v="0"/>
    <n v="99.83"/>
    <x v="2"/>
    <n v="29.949000000000002"/>
    <n v="628.92899999999997"/>
  </r>
  <r>
    <x v="1"/>
    <s v="498-41-1961"/>
    <x v="2"/>
    <x v="2"/>
    <x v="1"/>
    <x v="0"/>
    <n v="66.680000000000007"/>
    <x v="1"/>
    <n v="16.670000000000002"/>
    <n v="350.07000000000005"/>
  </r>
  <r>
    <x v="1"/>
    <s v="593-95-4461"/>
    <x v="1"/>
    <x v="1"/>
    <x v="0"/>
    <x v="2"/>
    <n v="74.86"/>
    <x v="8"/>
    <n v="3.7430000000000003"/>
    <n v="78.602999999999994"/>
  </r>
  <r>
    <x v="1"/>
    <s v="139-20-0155"/>
    <x v="2"/>
    <x v="2"/>
    <x v="0"/>
    <x v="1"/>
    <n v="40.299999999999997"/>
    <x v="3"/>
    <n v="20.150000000000002"/>
    <n v="423.15"/>
  </r>
  <r>
    <x v="1"/>
    <s v="558-80-4082"/>
    <x v="1"/>
    <x v="1"/>
    <x v="1"/>
    <x v="1"/>
    <n v="27.85"/>
    <x v="0"/>
    <n v="9.7475000000000023"/>
    <n v="204.69750000000002"/>
  </r>
  <r>
    <x v="1"/>
    <s v="585-03-5943"/>
    <x v="2"/>
    <x v="2"/>
    <x v="1"/>
    <x v="0"/>
    <n v="18.11"/>
    <x v="3"/>
    <n v="9.0549999999999997"/>
    <n v="190.155"/>
  </r>
  <r>
    <x v="1"/>
    <s v="727-75-6477"/>
    <x v="1"/>
    <x v="1"/>
    <x v="1"/>
    <x v="1"/>
    <n v="28.84"/>
    <x v="6"/>
    <n v="5.7680000000000007"/>
    <n v="121.128"/>
  </r>
  <r>
    <x v="1"/>
    <s v="744-02-5987"/>
    <x v="0"/>
    <x v="0"/>
    <x v="0"/>
    <x v="2"/>
    <n v="78.38"/>
    <x v="2"/>
    <n v="23.513999999999999"/>
    <n v="493.79399999999998"/>
  </r>
  <r>
    <x v="1"/>
    <s v="307-83-9164"/>
    <x v="0"/>
    <x v="0"/>
    <x v="0"/>
    <x v="2"/>
    <n v="60.01"/>
    <x v="6"/>
    <n v="12.002000000000001"/>
    <n v="252.042"/>
  </r>
  <r>
    <x v="1"/>
    <s v="446-47-6729"/>
    <x v="1"/>
    <x v="1"/>
    <x v="1"/>
    <x v="4"/>
    <n v="99.82"/>
    <x v="4"/>
    <n v="9.9819999999999993"/>
    <n v="209.62199999999999"/>
  </r>
  <r>
    <x v="1"/>
    <s v="573-10-3877"/>
    <x v="2"/>
    <x v="2"/>
    <x v="0"/>
    <x v="0"/>
    <n v="39.01"/>
    <x v="8"/>
    <n v="1.9504999999999999"/>
    <n v="40.960499999999996"/>
  </r>
  <r>
    <x v="1"/>
    <s v="735-06-4124"/>
    <x v="1"/>
    <x v="1"/>
    <x v="1"/>
    <x v="3"/>
    <n v="48.61"/>
    <x v="8"/>
    <n v="2.4305000000000003"/>
    <n v="51.040500000000002"/>
  </r>
  <r>
    <x v="1"/>
    <s v="411-77-0180"/>
    <x v="0"/>
    <x v="0"/>
    <x v="0"/>
    <x v="1"/>
    <n v="72.2"/>
    <x v="0"/>
    <n v="25.270000000000003"/>
    <n v="530.67000000000007"/>
  </r>
  <r>
    <x v="1"/>
    <s v="532-59-7201"/>
    <x v="2"/>
    <x v="2"/>
    <x v="0"/>
    <x v="5"/>
    <n v="79.930000000000007"/>
    <x v="2"/>
    <n v="23.979000000000003"/>
    <n v="503.55900000000003"/>
  </r>
  <r>
    <x v="1"/>
    <s v="181-94-6432"/>
    <x v="1"/>
    <x v="1"/>
    <x v="0"/>
    <x v="4"/>
    <n v="69.33"/>
    <x v="4"/>
    <n v="6.9329999999999998"/>
    <n v="145.59299999999999"/>
  </r>
  <r>
    <x v="1"/>
    <s v="174-36-3675"/>
    <x v="1"/>
    <x v="1"/>
    <x v="0"/>
    <x v="3"/>
    <n v="99.37"/>
    <x v="4"/>
    <n v="9.9370000000000012"/>
    <n v="208.67700000000002"/>
  </r>
  <r>
    <x v="1"/>
    <s v="603-07-0961"/>
    <x v="1"/>
    <x v="1"/>
    <x v="0"/>
    <x v="1"/>
    <n v="74.790000000000006"/>
    <x v="1"/>
    <n v="18.697500000000002"/>
    <n v="392.64750000000004"/>
  </r>
  <r>
    <x v="1"/>
    <s v="787-15-1757"/>
    <x v="1"/>
    <x v="1"/>
    <x v="0"/>
    <x v="0"/>
    <n v="44.07"/>
    <x v="6"/>
    <n v="8.8140000000000001"/>
    <n v="185.09399999999999"/>
  </r>
  <r>
    <x v="1"/>
    <s v="372-94-8041"/>
    <x v="0"/>
    <x v="0"/>
    <x v="1"/>
    <x v="0"/>
    <n v="15.26"/>
    <x v="2"/>
    <n v="4.5780000000000003"/>
    <n v="96.138000000000005"/>
  </r>
  <r>
    <x v="1"/>
    <s v="746-54-5508"/>
    <x v="0"/>
    <x v="0"/>
    <x v="1"/>
    <x v="2"/>
    <n v="21.52"/>
    <x v="2"/>
    <n v="6.4560000000000004"/>
    <n v="135.57599999999999"/>
  </r>
  <r>
    <x v="1"/>
    <s v="276-54-0879"/>
    <x v="2"/>
    <x v="2"/>
    <x v="1"/>
    <x v="5"/>
    <n v="97.74"/>
    <x v="6"/>
    <n v="19.548000000000002"/>
    <n v="410.50799999999998"/>
  </r>
  <r>
    <x v="1"/>
    <s v="815-11-1168"/>
    <x v="0"/>
    <x v="0"/>
    <x v="0"/>
    <x v="3"/>
    <n v="99.78"/>
    <x v="1"/>
    <n v="24.945"/>
    <n v="523.84500000000003"/>
  </r>
  <r>
    <x v="1"/>
    <s v="719-76-3868"/>
    <x v="1"/>
    <x v="1"/>
    <x v="0"/>
    <x v="3"/>
    <n v="94.26"/>
    <x v="6"/>
    <n v="18.852"/>
    <n v="395.892"/>
  </r>
  <r>
    <x v="1"/>
    <s v="730-61-8757"/>
    <x v="2"/>
    <x v="2"/>
    <x v="0"/>
    <x v="0"/>
    <n v="51.13"/>
    <x v="6"/>
    <n v="10.226000000000001"/>
    <n v="214.74600000000001"/>
  </r>
  <r>
    <x v="1"/>
    <s v="340-66-0321"/>
    <x v="0"/>
    <x v="0"/>
    <x v="0"/>
    <x v="1"/>
    <n v="36.36"/>
    <x v="6"/>
    <n v="7.2720000000000002"/>
    <n v="152.71199999999999"/>
  </r>
  <r>
    <x v="1"/>
    <s v="868-81-1752"/>
    <x v="2"/>
    <x v="2"/>
    <x v="1"/>
    <x v="2"/>
    <n v="22.02"/>
    <x v="9"/>
    <n v="9.9090000000000007"/>
    <n v="208.089"/>
  </r>
  <r>
    <x v="1"/>
    <s v="634-97-8956"/>
    <x v="0"/>
    <x v="0"/>
    <x v="1"/>
    <x v="3"/>
    <n v="32.9"/>
    <x v="5"/>
    <n v="4.9349999999999996"/>
    <n v="103.63499999999999"/>
  </r>
  <r>
    <x v="1"/>
    <s v="566-71-1091"/>
    <x v="0"/>
    <x v="0"/>
    <x v="1"/>
    <x v="4"/>
    <n v="77.02"/>
    <x v="1"/>
    <n v="19.254999999999999"/>
    <n v="404.35499999999996"/>
  </r>
  <r>
    <x v="1"/>
    <s v="442-48-3607"/>
    <x v="0"/>
    <x v="0"/>
    <x v="0"/>
    <x v="3"/>
    <n v="23.48"/>
    <x v="4"/>
    <n v="2.3480000000000003"/>
    <n v="49.308"/>
  </r>
  <r>
    <x v="1"/>
    <s v="835-16-0096"/>
    <x v="1"/>
    <x v="1"/>
    <x v="0"/>
    <x v="5"/>
    <n v="14.7"/>
    <x v="1"/>
    <n v="3.6750000000000003"/>
    <n v="77.174999999999997"/>
  </r>
  <r>
    <x v="1"/>
    <s v="898-04-2717"/>
    <x v="0"/>
    <x v="0"/>
    <x v="1"/>
    <x v="4"/>
    <n v="76.400000000000006"/>
    <x v="9"/>
    <n v="34.380000000000003"/>
    <n v="721.98"/>
  </r>
  <r>
    <x v="1"/>
    <s v="378-07-7001"/>
    <x v="2"/>
    <x v="2"/>
    <x v="0"/>
    <x v="1"/>
    <n v="48.09"/>
    <x v="5"/>
    <n v="7.2135000000000007"/>
    <n v="151.48350000000002"/>
  </r>
  <r>
    <x v="1"/>
    <s v="150-89-8043"/>
    <x v="0"/>
    <x v="0"/>
    <x v="1"/>
    <x v="5"/>
    <n v="44.65"/>
    <x v="5"/>
    <n v="6.6974999999999998"/>
    <n v="140.64749999999998"/>
  </r>
  <r>
    <x v="1"/>
    <s v="441-94-7118"/>
    <x v="0"/>
    <x v="0"/>
    <x v="0"/>
    <x v="1"/>
    <n v="71.95"/>
    <x v="8"/>
    <n v="3.5975000000000001"/>
    <n v="75.547499999999999"/>
  </r>
  <r>
    <x v="1"/>
    <s v="531-80-1784"/>
    <x v="0"/>
    <x v="0"/>
    <x v="1"/>
    <x v="1"/>
    <n v="26.02"/>
    <x v="0"/>
    <n v="9.1069999999999993"/>
    <n v="191.24699999999999"/>
  </r>
  <r>
    <x v="1"/>
    <s v="834-61-8124"/>
    <x v="0"/>
    <x v="0"/>
    <x v="1"/>
    <x v="1"/>
    <n v="51.69"/>
    <x v="0"/>
    <n v="18.0915"/>
    <n v="379.92149999999998"/>
  </r>
  <r>
    <x v="1"/>
    <s v="565-67-6697"/>
    <x v="2"/>
    <x v="2"/>
    <x v="0"/>
    <x v="2"/>
    <n v="27"/>
    <x v="9"/>
    <n v="12.15"/>
    <n v="255.15"/>
  </r>
  <r>
    <x v="1"/>
    <s v="453-63-6187"/>
    <x v="2"/>
    <x v="2"/>
    <x v="1"/>
    <x v="1"/>
    <n v="27.5"/>
    <x v="5"/>
    <n v="4.125"/>
    <n v="86.625"/>
  </r>
  <r>
    <x v="1"/>
    <s v="578-80-7669"/>
    <x v="2"/>
    <x v="2"/>
    <x v="1"/>
    <x v="5"/>
    <n v="74.97"/>
    <x v="8"/>
    <n v="3.7484999999999999"/>
    <n v="78.718500000000006"/>
  </r>
  <r>
    <x v="1"/>
    <s v="612-36-5536"/>
    <x v="0"/>
    <x v="0"/>
    <x v="0"/>
    <x v="3"/>
    <n v="80.959999999999994"/>
    <x v="7"/>
    <n v="32.384"/>
    <n v="680.06399999999996"/>
  </r>
  <r>
    <x v="1"/>
    <s v="471-41-2823"/>
    <x v="1"/>
    <x v="1"/>
    <x v="1"/>
    <x v="3"/>
    <n v="99.79"/>
    <x v="4"/>
    <n v="9.979000000000001"/>
    <n v="209.55900000000003"/>
  </r>
  <r>
    <x v="1"/>
    <s v="462-67-9126"/>
    <x v="0"/>
    <x v="0"/>
    <x v="1"/>
    <x v="2"/>
    <n v="73.22"/>
    <x v="2"/>
    <n v="21.966000000000001"/>
    <n v="461.286"/>
  </r>
  <r>
    <x v="1"/>
    <s v="468-88-0009"/>
    <x v="0"/>
    <x v="0"/>
    <x v="0"/>
    <x v="2"/>
    <n v="65.94"/>
    <x v="6"/>
    <n v="13.188000000000001"/>
    <n v="276.94799999999998"/>
  </r>
  <r>
    <x v="1"/>
    <s v="254-31-0042"/>
    <x v="0"/>
    <x v="0"/>
    <x v="0"/>
    <x v="1"/>
    <n v="21.5"/>
    <x v="9"/>
    <n v="9.6750000000000007"/>
    <n v="203.17500000000001"/>
  </r>
  <r>
    <x v="1"/>
    <s v="382-25-8917"/>
    <x v="1"/>
    <x v="1"/>
    <x v="1"/>
    <x v="4"/>
    <n v="42.08"/>
    <x v="2"/>
    <n v="12.624000000000001"/>
    <n v="265.10399999999998"/>
  </r>
  <r>
    <x v="1"/>
    <s v="743-88-1662"/>
    <x v="1"/>
    <x v="1"/>
    <x v="1"/>
    <x v="5"/>
    <n v="95.49"/>
    <x v="0"/>
    <n v="33.421500000000002"/>
    <n v="701.85149999999999"/>
  </r>
  <r>
    <x v="1"/>
    <s v="595-86-2894"/>
    <x v="1"/>
    <x v="1"/>
    <x v="0"/>
    <x v="4"/>
    <n v="96.98"/>
    <x v="6"/>
    <n v="19.396000000000001"/>
    <n v="407.31600000000003"/>
  </r>
  <r>
    <x v="1"/>
    <s v="289-15-7034"/>
    <x v="0"/>
    <x v="0"/>
    <x v="0"/>
    <x v="5"/>
    <n v="82.33"/>
    <x v="6"/>
    <n v="16.466000000000001"/>
    <n v="345.786"/>
  </r>
  <r>
    <x v="1"/>
    <s v="525-88-7307"/>
    <x v="2"/>
    <x v="2"/>
    <x v="0"/>
    <x v="5"/>
    <n v="75.819999999999993"/>
    <x v="8"/>
    <n v="3.7909999999999999"/>
    <n v="79.61099999999999"/>
  </r>
  <r>
    <x v="1"/>
    <s v="689-16-9784"/>
    <x v="1"/>
    <x v="1"/>
    <x v="1"/>
    <x v="3"/>
    <n v="46.77"/>
    <x v="2"/>
    <n v="14.031000000000001"/>
    <n v="294.65100000000001"/>
  </r>
  <r>
    <x v="1"/>
    <s v="596-42-3999"/>
    <x v="2"/>
    <x v="2"/>
    <x v="1"/>
    <x v="3"/>
    <n v="18.22"/>
    <x v="0"/>
    <n v="6.3769999999999998"/>
    <n v="133.917"/>
  </r>
  <r>
    <x v="1"/>
    <s v="563-36-9814"/>
    <x v="0"/>
    <x v="0"/>
    <x v="0"/>
    <x v="1"/>
    <n v="76.819999999999993"/>
    <x v="8"/>
    <n v="3.8409999999999997"/>
    <n v="80.660999999999987"/>
  </r>
  <r>
    <x v="1"/>
    <s v="760-54-1821"/>
    <x v="2"/>
    <x v="2"/>
    <x v="1"/>
    <x v="2"/>
    <n v="13.59"/>
    <x v="9"/>
    <n v="6.1155000000000008"/>
    <n v="128.4255"/>
  </r>
  <r>
    <x v="1"/>
    <s v="346-12-3257"/>
    <x v="2"/>
    <x v="2"/>
    <x v="0"/>
    <x v="1"/>
    <n v="19.239999999999998"/>
    <x v="9"/>
    <n v="8.6579999999999995"/>
    <n v="181.81799999999998"/>
  </r>
  <r>
    <x v="1"/>
    <s v="651-61-0874"/>
    <x v="1"/>
    <x v="1"/>
    <x v="1"/>
    <x v="2"/>
    <n v="46.22"/>
    <x v="6"/>
    <n v="9.2439999999999998"/>
    <n v="194.124"/>
  </r>
  <r>
    <x v="1"/>
    <s v="236-86-3015"/>
    <x v="1"/>
    <x v="1"/>
    <x v="0"/>
    <x v="2"/>
    <n v="13.98"/>
    <x v="8"/>
    <n v="0.69900000000000007"/>
    <n v="14.679"/>
  </r>
  <r>
    <x v="1"/>
    <s v="882-40-4577"/>
    <x v="0"/>
    <x v="0"/>
    <x v="0"/>
    <x v="5"/>
    <n v="67.260000000000005"/>
    <x v="6"/>
    <n v="13.452000000000002"/>
    <n v="282.49200000000002"/>
  </r>
  <r>
    <x v="1"/>
    <s v="732-67-5346"/>
    <x v="0"/>
    <x v="0"/>
    <x v="1"/>
    <x v="3"/>
    <n v="13.79"/>
    <x v="1"/>
    <n v="3.4474999999999998"/>
    <n v="72.397499999999994"/>
  </r>
  <r>
    <x v="1"/>
    <s v="569-71-4390"/>
    <x v="2"/>
    <x v="2"/>
    <x v="1"/>
    <x v="5"/>
    <n v="21.87"/>
    <x v="4"/>
    <n v="2.1870000000000003"/>
    <n v="45.927"/>
  </r>
  <r>
    <x v="1"/>
    <s v="132-23-6451"/>
    <x v="0"/>
    <x v="0"/>
    <x v="0"/>
    <x v="0"/>
    <n v="20.97"/>
    <x v="1"/>
    <n v="5.2424999999999997"/>
    <n v="110.0925"/>
  </r>
  <r>
    <x v="1"/>
    <s v="696-90-2548"/>
    <x v="0"/>
    <x v="0"/>
    <x v="1"/>
    <x v="5"/>
    <n v="25.84"/>
    <x v="5"/>
    <n v="3.8759999999999999"/>
    <n v="81.396000000000001"/>
  </r>
  <r>
    <x v="1"/>
    <s v="472-15-9636"/>
    <x v="0"/>
    <x v="0"/>
    <x v="1"/>
    <x v="2"/>
    <n v="50.93"/>
    <x v="7"/>
    <n v="20.372"/>
    <n v="427.81200000000001"/>
  </r>
  <r>
    <x v="1"/>
    <s v="268-03-6164"/>
    <x v="2"/>
    <x v="2"/>
    <x v="1"/>
    <x v="0"/>
    <n v="96.11"/>
    <x v="8"/>
    <n v="4.8055000000000003"/>
    <n v="100.91549999999999"/>
  </r>
  <r>
    <x v="1"/>
    <s v="301-81-8610"/>
    <x v="2"/>
    <x v="2"/>
    <x v="0"/>
    <x v="4"/>
    <n v="25.42"/>
    <x v="7"/>
    <n v="10.168000000000001"/>
    <n v="213.52800000000002"/>
  </r>
  <r>
    <x v="1"/>
    <s v="489-64-4354"/>
    <x v="1"/>
    <x v="1"/>
    <x v="1"/>
    <x v="4"/>
    <n v="16.28"/>
    <x v="8"/>
    <n v="0.81400000000000006"/>
    <n v="17.094000000000001"/>
  </r>
  <r>
    <x v="1"/>
    <s v="198-84-7132"/>
    <x v="2"/>
    <x v="2"/>
    <x v="0"/>
    <x v="4"/>
    <n v="40.61"/>
    <x v="9"/>
    <n v="18.2745"/>
    <n v="383.7645"/>
  </r>
  <r>
    <x v="1"/>
    <s v="269-10-8440"/>
    <x v="0"/>
    <x v="0"/>
    <x v="0"/>
    <x v="0"/>
    <n v="53.17"/>
    <x v="0"/>
    <n v="18.609500000000001"/>
    <n v="390.79950000000002"/>
  </r>
  <r>
    <x v="1"/>
    <s v="741-73-3559"/>
    <x v="2"/>
    <x v="2"/>
    <x v="1"/>
    <x v="5"/>
    <n v="67.27"/>
    <x v="1"/>
    <n v="16.817499999999999"/>
    <n v="353.16749999999996"/>
  </r>
  <r>
    <x v="1"/>
    <s v="286-75-7818"/>
    <x v="2"/>
    <x v="2"/>
    <x v="1"/>
    <x v="4"/>
    <n v="69.08"/>
    <x v="4"/>
    <n v="6.9080000000000004"/>
    <n v="145.06799999999998"/>
  </r>
  <r>
    <x v="1"/>
    <s v="574-57-9721"/>
    <x v="1"/>
    <x v="1"/>
    <x v="1"/>
    <x v="3"/>
    <n v="43.27"/>
    <x v="4"/>
    <n v="4.3270000000000008"/>
    <n v="90.867000000000004"/>
  </r>
  <r>
    <x v="1"/>
    <s v="616-87-0016"/>
    <x v="2"/>
    <x v="2"/>
    <x v="1"/>
    <x v="4"/>
    <n v="95.54"/>
    <x v="0"/>
    <n v="33.439000000000007"/>
    <n v="702.21900000000005"/>
  </r>
  <r>
    <x v="1"/>
    <s v="751-69-0068"/>
    <x v="1"/>
    <x v="1"/>
    <x v="1"/>
    <x v="5"/>
    <n v="99.24"/>
    <x v="9"/>
    <n v="44.658000000000001"/>
    <n v="937.81799999999998"/>
  </r>
  <r>
    <x v="1"/>
    <s v="257-73-1380"/>
    <x v="1"/>
    <x v="1"/>
    <x v="0"/>
    <x v="5"/>
    <n v="82.93"/>
    <x v="6"/>
    <n v="16.586000000000002"/>
    <n v="348.30600000000004"/>
  </r>
  <r>
    <x v="1"/>
    <s v="345-08-4992"/>
    <x v="0"/>
    <x v="0"/>
    <x v="1"/>
    <x v="2"/>
    <n v="33.99"/>
    <x v="2"/>
    <n v="10.197000000000001"/>
    <n v="214.137"/>
  </r>
  <r>
    <x v="1"/>
    <s v="549-96-4200"/>
    <x v="1"/>
    <x v="1"/>
    <x v="0"/>
    <x v="3"/>
    <n v="17.04"/>
    <x v="6"/>
    <n v="3.4079999999999999"/>
    <n v="71.567999999999998"/>
  </r>
  <r>
    <x v="1"/>
    <s v="450-28-2866"/>
    <x v="1"/>
    <x v="1"/>
    <x v="0"/>
    <x v="3"/>
    <n v="17.440000000000001"/>
    <x v="1"/>
    <n v="4.3600000000000003"/>
    <n v="91.56"/>
  </r>
  <r>
    <x v="1"/>
    <s v="192-98-7397"/>
    <x v="1"/>
    <x v="1"/>
    <x v="1"/>
    <x v="4"/>
    <n v="12.78"/>
    <x v="8"/>
    <n v="0.63900000000000001"/>
    <n v="13.418999999999999"/>
  </r>
  <r>
    <x v="1"/>
    <s v="235-46-8343"/>
    <x v="1"/>
    <x v="1"/>
    <x v="0"/>
    <x v="3"/>
    <n v="27.66"/>
    <x v="3"/>
    <n v="13.830000000000002"/>
    <n v="290.43"/>
  </r>
  <r>
    <x v="1"/>
    <s v="453-12-7053"/>
    <x v="1"/>
    <x v="1"/>
    <x v="1"/>
    <x v="4"/>
    <n v="45.74"/>
    <x v="5"/>
    <n v="6.8610000000000007"/>
    <n v="144.08099999999999"/>
  </r>
  <r>
    <x v="1"/>
    <s v="744-09-5786"/>
    <x v="2"/>
    <x v="2"/>
    <x v="1"/>
    <x v="1"/>
    <n v="22.01"/>
    <x v="2"/>
    <n v="6.6030000000000006"/>
    <n v="138.66300000000001"/>
  </r>
  <r>
    <x v="1"/>
    <s v="568-88-3448"/>
    <x v="0"/>
    <x v="0"/>
    <x v="1"/>
    <x v="0"/>
    <n v="25"/>
    <x v="8"/>
    <n v="1.25"/>
    <n v="26.25"/>
  </r>
  <r>
    <x v="1"/>
    <s v="187-83-5490"/>
    <x v="0"/>
    <x v="0"/>
    <x v="0"/>
    <x v="1"/>
    <n v="20.77"/>
    <x v="6"/>
    <n v="4.1539999999999999"/>
    <n v="87.233999999999995"/>
  </r>
  <r>
    <x v="1"/>
    <s v="533-33-5337"/>
    <x v="2"/>
    <x v="2"/>
    <x v="1"/>
    <x v="1"/>
    <n v="79.39"/>
    <x v="3"/>
    <n v="39.695"/>
    <n v="833.59500000000003"/>
  </r>
  <r>
    <x v="1"/>
    <s v="729-46-7422"/>
    <x v="1"/>
    <x v="1"/>
    <x v="1"/>
    <x v="3"/>
    <n v="35.89"/>
    <x v="8"/>
    <n v="1.7945000000000002"/>
    <n v="37.6845"/>
  </r>
  <r>
    <x v="1"/>
    <s v="639-76-1242"/>
    <x v="1"/>
    <x v="1"/>
    <x v="1"/>
    <x v="3"/>
    <n v="40.520000000000003"/>
    <x v="1"/>
    <n v="10.130000000000003"/>
    <n v="212.73000000000002"/>
  </r>
  <r>
    <x v="1"/>
    <s v="470-32-9057"/>
    <x v="0"/>
    <x v="0"/>
    <x v="0"/>
    <x v="3"/>
    <n v="51.34"/>
    <x v="1"/>
    <n v="12.835000000000003"/>
    <n v="269.53500000000003"/>
  </r>
  <r>
    <x v="1"/>
    <s v="554-53-3790"/>
    <x v="2"/>
    <x v="2"/>
    <x v="1"/>
    <x v="5"/>
    <n v="37.020000000000003"/>
    <x v="2"/>
    <n v="11.106000000000002"/>
    <n v="233.226"/>
  </r>
  <r>
    <x v="1"/>
    <s v="746-19-0921"/>
    <x v="1"/>
    <x v="1"/>
    <x v="1"/>
    <x v="3"/>
    <n v="21.58"/>
    <x v="8"/>
    <n v="1.079"/>
    <n v="22.658999999999999"/>
  </r>
  <r>
    <x v="1"/>
    <s v="405-31-3305"/>
    <x v="0"/>
    <x v="0"/>
    <x v="0"/>
    <x v="4"/>
    <n v="43.13"/>
    <x v="3"/>
    <n v="21.565000000000001"/>
    <n v="452.86500000000001"/>
  </r>
  <r>
    <x v="1"/>
    <s v="731-59-7531"/>
    <x v="2"/>
    <x v="2"/>
    <x v="0"/>
    <x v="0"/>
    <n v="72.569999999999993"/>
    <x v="7"/>
    <n v="29.027999999999999"/>
    <n v="609.58799999999997"/>
  </r>
  <r>
    <x v="1"/>
    <s v="502-05-1910"/>
    <x v="0"/>
    <x v="0"/>
    <x v="1"/>
    <x v="0"/>
    <n v="65.180000000000007"/>
    <x v="5"/>
    <n v="9.777000000000001"/>
    <n v="205.31700000000001"/>
  </r>
  <r>
    <x v="1"/>
    <s v="598-47-9715"/>
    <x v="1"/>
    <x v="1"/>
    <x v="1"/>
    <x v="1"/>
    <n v="84.07"/>
    <x v="6"/>
    <n v="16.814"/>
    <n v="353.09399999999999"/>
  </r>
  <r>
    <x v="1"/>
    <s v="701-69-8742"/>
    <x v="2"/>
    <x v="2"/>
    <x v="1"/>
    <x v="5"/>
    <n v="34.369999999999997"/>
    <x v="3"/>
    <n v="17.184999999999999"/>
    <n v="360.88499999999999"/>
  </r>
  <r>
    <x v="1"/>
    <s v="575-67-1508"/>
    <x v="0"/>
    <x v="0"/>
    <x v="1"/>
    <x v="1"/>
    <n v="38.6"/>
    <x v="8"/>
    <n v="1.9300000000000002"/>
    <n v="40.53"/>
  </r>
  <r>
    <x v="1"/>
    <s v="541-08-3113"/>
    <x v="1"/>
    <x v="1"/>
    <x v="1"/>
    <x v="3"/>
    <n v="65.97"/>
    <x v="7"/>
    <n v="26.388000000000002"/>
    <n v="554.14800000000002"/>
  </r>
  <r>
    <x v="1"/>
    <s v="674-15-9296"/>
    <x v="0"/>
    <x v="0"/>
    <x v="1"/>
    <x v="5"/>
    <n v="37.14"/>
    <x v="1"/>
    <n v="9.2850000000000001"/>
    <n v="194.98499999999999"/>
  </r>
  <r>
    <x v="1"/>
    <s v="305-18-3552"/>
    <x v="2"/>
    <x v="2"/>
    <x v="0"/>
    <x v="2"/>
    <n v="60.38"/>
    <x v="3"/>
    <n v="30.190000000000005"/>
    <n v="633.99000000000012"/>
  </r>
  <r>
    <x v="1"/>
    <s v="795-49-7276"/>
    <x v="0"/>
    <x v="0"/>
    <x v="1"/>
    <x v="4"/>
    <n v="37.15"/>
    <x v="6"/>
    <n v="7.43"/>
    <n v="156.03"/>
  </r>
  <r>
    <x v="1"/>
    <s v="556-72-8512"/>
    <x v="1"/>
    <x v="1"/>
    <x v="1"/>
    <x v="2"/>
    <n v="22.96"/>
    <x v="8"/>
    <n v="1.1480000000000001"/>
    <n v="24.108000000000001"/>
  </r>
  <r>
    <x v="1"/>
    <s v="437-53-3084"/>
    <x v="2"/>
    <x v="2"/>
    <x v="1"/>
    <x v="4"/>
    <n v="99.89"/>
    <x v="4"/>
    <n v="9.9890000000000008"/>
    <n v="209.76900000000001"/>
  </r>
  <r>
    <x v="1"/>
    <s v="632-32-4574"/>
    <x v="2"/>
    <x v="2"/>
    <x v="1"/>
    <x v="5"/>
    <n v="75.92"/>
    <x v="7"/>
    <n v="30.368000000000002"/>
    <n v="637.72800000000007"/>
  </r>
  <r>
    <x v="1"/>
    <s v="277-63-2961"/>
    <x v="2"/>
    <x v="2"/>
    <x v="0"/>
    <x v="5"/>
    <n v="73.97"/>
    <x v="8"/>
    <n v="3.6985000000000001"/>
    <n v="77.668499999999995"/>
  </r>
  <r>
    <x v="1"/>
    <s v="620-02-2046"/>
    <x v="1"/>
    <x v="1"/>
    <x v="1"/>
    <x v="2"/>
    <n v="69.400000000000006"/>
    <x v="4"/>
    <n v="6.9400000000000013"/>
    <n v="145.74"/>
  </r>
  <r>
    <x v="1"/>
    <s v="511-54-3087"/>
    <x v="2"/>
    <x v="2"/>
    <x v="1"/>
    <x v="5"/>
    <n v="88.45"/>
    <x v="8"/>
    <n v="4.4225000000000003"/>
    <n v="92.872500000000002"/>
  </r>
  <r>
    <x v="1"/>
    <s v="726-29-6793"/>
    <x v="0"/>
    <x v="0"/>
    <x v="0"/>
    <x v="1"/>
    <n v="24.18"/>
    <x v="7"/>
    <n v="9.6720000000000006"/>
    <n v="203.11199999999999"/>
  </r>
  <r>
    <x v="1"/>
    <s v="291-21-5991"/>
    <x v="2"/>
    <x v="2"/>
    <x v="0"/>
    <x v="0"/>
    <n v="61.29"/>
    <x v="1"/>
    <n v="15.3225"/>
    <n v="321.77249999999998"/>
  </r>
  <r>
    <x v="1"/>
    <s v="189-52-0236"/>
    <x v="0"/>
    <x v="0"/>
    <x v="1"/>
    <x v="1"/>
    <n v="99.55"/>
    <x v="0"/>
    <n v="34.842500000000001"/>
    <n v="731.6925"/>
  </r>
  <r>
    <x v="1"/>
    <s v="503-07-0930"/>
    <x v="1"/>
    <x v="1"/>
    <x v="0"/>
    <x v="5"/>
    <n v="58.39"/>
    <x v="0"/>
    <n v="20.436500000000002"/>
    <n v="429.16650000000004"/>
  </r>
  <r>
    <x v="1"/>
    <s v="425-85-2085"/>
    <x v="2"/>
    <x v="2"/>
    <x v="0"/>
    <x v="0"/>
    <n v="54.86"/>
    <x v="1"/>
    <n v="13.715000000000002"/>
    <n v="288.01499999999999"/>
  </r>
  <r>
    <x v="1"/>
    <s v="521-18-7827"/>
    <x v="1"/>
    <x v="1"/>
    <x v="0"/>
    <x v="2"/>
    <n v="39.39"/>
    <x v="1"/>
    <n v="9.8475000000000001"/>
    <n v="206.79749999999999"/>
  </r>
  <r>
    <x v="1"/>
    <s v="220-28-1851"/>
    <x v="0"/>
    <x v="0"/>
    <x v="1"/>
    <x v="2"/>
    <n v="34.729999999999997"/>
    <x v="4"/>
    <n v="3.4729999999999999"/>
    <n v="72.932999999999993"/>
  </r>
  <r>
    <x v="1"/>
    <s v="600-38-9738"/>
    <x v="1"/>
    <x v="1"/>
    <x v="0"/>
    <x v="5"/>
    <n v="71.92"/>
    <x v="1"/>
    <n v="17.98"/>
    <n v="377.58000000000004"/>
  </r>
  <r>
    <x v="1"/>
    <s v="133-14-7229"/>
    <x v="1"/>
    <x v="1"/>
    <x v="1"/>
    <x v="0"/>
    <n v="62.87"/>
    <x v="4"/>
    <n v="6.2869999999999999"/>
    <n v="132.02699999999999"/>
  </r>
  <r>
    <x v="1"/>
    <s v="534-01-4457"/>
    <x v="0"/>
    <x v="0"/>
    <x v="1"/>
    <x v="3"/>
    <n v="81.709999999999994"/>
    <x v="2"/>
    <n v="24.513000000000002"/>
    <n v="514.77300000000002"/>
  </r>
  <r>
    <x v="1"/>
    <s v="286-62-6248"/>
    <x v="2"/>
    <x v="2"/>
    <x v="1"/>
    <x v="4"/>
    <n v="39.21"/>
    <x v="6"/>
    <n v="7.8420000000000005"/>
    <n v="164.68200000000002"/>
  </r>
  <r>
    <x v="1"/>
    <s v="339-38-9982"/>
    <x v="2"/>
    <x v="2"/>
    <x v="0"/>
    <x v="4"/>
    <n v="59.86"/>
    <x v="4"/>
    <n v="5.9860000000000007"/>
    <n v="125.706"/>
  </r>
  <r>
    <x v="1"/>
    <s v="827-77-7633"/>
    <x v="0"/>
    <x v="0"/>
    <x v="1"/>
    <x v="5"/>
    <n v="98.09"/>
    <x v="9"/>
    <n v="44.140500000000003"/>
    <n v="926.95050000000003"/>
  </r>
  <r>
    <x v="1"/>
    <s v="287-83-1405"/>
    <x v="0"/>
    <x v="0"/>
    <x v="1"/>
    <x v="0"/>
    <n v="25.43"/>
    <x v="2"/>
    <n v="7.6289999999999996"/>
    <n v="160.20899999999997"/>
  </r>
  <r>
    <x v="1"/>
    <s v="435-13-4908"/>
    <x v="0"/>
    <x v="0"/>
    <x v="0"/>
    <x v="4"/>
    <n v="86.68"/>
    <x v="7"/>
    <n v="34.672000000000004"/>
    <n v="728.11200000000008"/>
  </r>
  <r>
    <x v="1"/>
    <s v="857-67-9057"/>
    <x v="2"/>
    <x v="2"/>
    <x v="1"/>
    <x v="1"/>
    <n v="22.95"/>
    <x v="3"/>
    <n v="11.475000000000001"/>
    <n v="240.97499999999999"/>
  </r>
  <r>
    <x v="1"/>
    <s v="583-41-4548"/>
    <x v="1"/>
    <x v="1"/>
    <x v="1"/>
    <x v="2"/>
    <n v="16.670000000000002"/>
    <x v="0"/>
    <n v="5.8345000000000011"/>
    <n v="122.52450000000002"/>
  </r>
  <r>
    <x v="1"/>
    <s v="643-38-7867"/>
    <x v="0"/>
    <x v="0"/>
    <x v="1"/>
    <x v="2"/>
    <n v="97.94"/>
    <x v="8"/>
    <n v="4.8970000000000002"/>
    <n v="102.837"/>
  </r>
  <r>
    <x v="1"/>
    <s v="460-35-4390"/>
    <x v="0"/>
    <x v="0"/>
    <x v="1"/>
    <x v="2"/>
    <n v="30.68"/>
    <x v="5"/>
    <n v="4.6019999999999994"/>
    <n v="96.641999999999996"/>
  </r>
  <r>
    <x v="1"/>
    <s v="343-87-0864"/>
    <x v="1"/>
    <x v="1"/>
    <x v="0"/>
    <x v="0"/>
    <n v="75.88"/>
    <x v="8"/>
    <n v="3.794"/>
    <n v="79.673999999999992"/>
  </r>
  <r>
    <x v="1"/>
    <s v="243-47-2663"/>
    <x v="1"/>
    <x v="1"/>
    <x v="0"/>
    <x v="1"/>
    <n v="18.77"/>
    <x v="2"/>
    <n v="5.6310000000000002"/>
    <n v="118.251"/>
  </r>
  <r>
    <x v="1"/>
    <s v="701-23-5550"/>
    <x v="2"/>
    <x v="2"/>
    <x v="0"/>
    <x v="2"/>
    <n v="38.81"/>
    <x v="6"/>
    <n v="7.7620000000000005"/>
    <n v="163.00200000000001"/>
  </r>
  <r>
    <x v="1"/>
    <s v="541-48-8554"/>
    <x v="0"/>
    <x v="0"/>
    <x v="1"/>
    <x v="5"/>
    <n v="60.95"/>
    <x v="9"/>
    <n v="27.427500000000006"/>
    <n v="575.97750000000008"/>
  </r>
  <r>
    <x v="1"/>
    <s v="747-58-7183"/>
    <x v="2"/>
    <x v="2"/>
    <x v="1"/>
    <x v="4"/>
    <n v="57.27"/>
    <x v="5"/>
    <n v="8.5905000000000005"/>
    <n v="180.40049999999999"/>
  </r>
  <r>
    <x v="1"/>
    <s v="399-69-4630"/>
    <x v="1"/>
    <x v="1"/>
    <x v="1"/>
    <x v="1"/>
    <n v="22.21"/>
    <x v="2"/>
    <n v="6.6630000000000003"/>
    <n v="139.923"/>
  </r>
  <r>
    <x v="1"/>
    <s v="134-75-2619"/>
    <x v="0"/>
    <x v="0"/>
    <x v="0"/>
    <x v="1"/>
    <n v="19.32"/>
    <x v="0"/>
    <n v="6.7620000000000005"/>
    <n v="142.00200000000001"/>
  </r>
  <r>
    <x v="1"/>
    <s v="356-44-8813"/>
    <x v="2"/>
    <x v="2"/>
    <x v="1"/>
    <x v="2"/>
    <n v="37.479999999999997"/>
    <x v="5"/>
    <n v="5.6219999999999999"/>
    <n v="118.062"/>
  </r>
  <r>
    <x v="1"/>
    <s v="712-39-0363"/>
    <x v="0"/>
    <x v="0"/>
    <x v="0"/>
    <x v="3"/>
    <n v="41.66"/>
    <x v="2"/>
    <n v="12.497999999999999"/>
    <n v="262.45799999999997"/>
  </r>
  <r>
    <x v="1"/>
    <s v="174-75-0888"/>
    <x v="2"/>
    <x v="2"/>
    <x v="1"/>
    <x v="1"/>
    <n v="21.58"/>
    <x v="9"/>
    <n v="9.7109999999999985"/>
    <n v="203.93099999999998"/>
  </r>
  <r>
    <x v="1"/>
    <s v="866-99-7614"/>
    <x v="1"/>
    <x v="1"/>
    <x v="1"/>
    <x v="3"/>
    <n v="89.2"/>
    <x v="3"/>
    <n v="44.6"/>
    <n v="936.6"/>
  </r>
  <r>
    <x v="1"/>
    <s v="760-90-2357"/>
    <x v="0"/>
    <x v="0"/>
    <x v="0"/>
    <x v="1"/>
    <n v="74.510000000000005"/>
    <x v="2"/>
    <n v="22.353000000000005"/>
    <n v="469.41300000000007"/>
  </r>
  <r>
    <x v="1"/>
    <s v="514-37-2845"/>
    <x v="2"/>
    <x v="2"/>
    <x v="1"/>
    <x v="4"/>
    <n v="99.25"/>
    <x v="4"/>
    <n v="9.9250000000000007"/>
    <n v="208.42500000000001"/>
  </r>
  <r>
    <x v="1"/>
    <s v="343-61-3544"/>
    <x v="2"/>
    <x v="2"/>
    <x v="0"/>
    <x v="5"/>
    <n v="26.67"/>
    <x v="3"/>
    <n v="13.335000000000003"/>
    <n v="280.03500000000003"/>
  </r>
  <r>
    <x v="1"/>
    <s v="239-48-4278"/>
    <x v="0"/>
    <x v="0"/>
    <x v="0"/>
    <x v="3"/>
    <n v="10.130000000000001"/>
    <x v="0"/>
    <n v="3.5455000000000005"/>
    <n v="74.455500000000015"/>
  </r>
  <r>
    <x v="1"/>
    <s v="355-34-6244"/>
    <x v="2"/>
    <x v="2"/>
    <x v="1"/>
    <x v="3"/>
    <n v="72.39"/>
    <x v="4"/>
    <n v="7.2390000000000008"/>
    <n v="152.01900000000001"/>
  </r>
  <r>
    <x v="1"/>
    <s v="550-84-8664"/>
    <x v="0"/>
    <x v="0"/>
    <x v="1"/>
    <x v="5"/>
    <n v="85.91"/>
    <x v="1"/>
    <n v="21.477499999999999"/>
    <n v="451.02749999999997"/>
  </r>
  <r>
    <x v="1"/>
    <s v="339-96-8318"/>
    <x v="2"/>
    <x v="2"/>
    <x v="0"/>
    <x v="4"/>
    <n v="81.31"/>
    <x v="0"/>
    <n v="28.458500000000004"/>
    <n v="597.62850000000003"/>
  </r>
  <r>
    <x v="1"/>
    <s v="458-61-0011"/>
    <x v="2"/>
    <x v="2"/>
    <x v="1"/>
    <x v="3"/>
    <n v="60.3"/>
    <x v="6"/>
    <n v="12.06"/>
    <n v="253.26"/>
  </r>
  <r>
    <x v="1"/>
    <s v="592-34-6155"/>
    <x v="1"/>
    <x v="1"/>
    <x v="1"/>
    <x v="3"/>
    <n v="31.77"/>
    <x v="6"/>
    <n v="6.3540000000000001"/>
    <n v="133.434"/>
  </r>
  <r>
    <x v="1"/>
    <s v="207-73-1363"/>
    <x v="2"/>
    <x v="2"/>
    <x v="1"/>
    <x v="0"/>
    <n v="69.510000000000005"/>
    <x v="4"/>
    <n v="6.9510000000000005"/>
    <n v="145.971"/>
  </r>
  <r>
    <x v="1"/>
    <s v="390-31-6381"/>
    <x v="1"/>
    <x v="1"/>
    <x v="1"/>
    <x v="3"/>
    <n v="27.22"/>
    <x v="5"/>
    <n v="4.0830000000000002"/>
    <n v="85.742999999999995"/>
  </r>
  <r>
    <x v="1"/>
    <s v="375-72-3056"/>
    <x v="2"/>
    <x v="2"/>
    <x v="1"/>
    <x v="5"/>
    <n v="63.06"/>
    <x v="5"/>
    <n v="9.4590000000000014"/>
    <n v="198.63900000000001"/>
  </r>
  <r>
    <x v="1"/>
    <s v="127-47-6963"/>
    <x v="0"/>
    <x v="0"/>
    <x v="1"/>
    <x v="0"/>
    <n v="51.71"/>
    <x v="6"/>
    <n v="10.342000000000001"/>
    <n v="217.18200000000002"/>
  </r>
  <r>
    <x v="1"/>
    <s v="379-17-6588"/>
    <x v="1"/>
    <x v="1"/>
    <x v="1"/>
    <x v="4"/>
    <n v="59.61"/>
    <x v="3"/>
    <n v="29.805000000000003"/>
    <n v="625.90499999999997"/>
  </r>
  <r>
    <x v="1"/>
    <s v="227-50-3718"/>
    <x v="0"/>
    <x v="0"/>
    <x v="1"/>
    <x v="0"/>
    <n v="14.62"/>
    <x v="1"/>
    <n v="3.6549999999999998"/>
    <n v="76.754999999999995"/>
  </r>
  <r>
    <x v="1"/>
    <s v="302-15-2162"/>
    <x v="1"/>
    <x v="1"/>
    <x v="0"/>
    <x v="0"/>
    <n v="46.53"/>
    <x v="2"/>
    <n v="13.959000000000001"/>
    <n v="293.13900000000001"/>
  </r>
  <r>
    <x v="1"/>
    <s v="585-11-6748"/>
    <x v="2"/>
    <x v="2"/>
    <x v="0"/>
    <x v="5"/>
    <n v="96.8"/>
    <x v="5"/>
    <n v="14.52"/>
    <n v="304.91999999999996"/>
  </r>
  <r>
    <x v="1"/>
    <s v="470-31-3286"/>
    <x v="2"/>
    <x v="2"/>
    <x v="1"/>
    <x v="0"/>
    <n v="14.82"/>
    <x v="5"/>
    <n v="2.2230000000000003"/>
    <n v="46.683"/>
  </r>
  <r>
    <x v="1"/>
    <s v="152-68-2907"/>
    <x v="0"/>
    <x v="0"/>
    <x v="1"/>
    <x v="3"/>
    <n v="52.2"/>
    <x v="5"/>
    <n v="7.8300000000000018"/>
    <n v="164.43000000000004"/>
  </r>
  <r>
    <x v="1"/>
    <s v="219-61-4139"/>
    <x v="1"/>
    <x v="1"/>
    <x v="1"/>
    <x v="1"/>
    <n v="83.08"/>
    <x v="8"/>
    <n v="4.1539999999999999"/>
    <n v="87.233999999999995"/>
  </r>
  <r>
    <x v="1"/>
    <s v="373-09-4567"/>
    <x v="1"/>
    <x v="1"/>
    <x v="1"/>
    <x v="3"/>
    <n v="77.56"/>
    <x v="3"/>
    <n v="38.78"/>
    <n v="814.38"/>
  </r>
  <r>
    <x v="1"/>
    <s v="830-58-2383"/>
    <x v="2"/>
    <x v="2"/>
    <x v="1"/>
    <x v="2"/>
    <n v="31.75"/>
    <x v="6"/>
    <n v="6.3500000000000005"/>
    <n v="133.35"/>
  </r>
  <r>
    <x v="1"/>
    <s v="318-12-0304"/>
    <x v="0"/>
    <x v="0"/>
    <x v="1"/>
    <x v="4"/>
    <n v="30.61"/>
    <x v="8"/>
    <n v="1.5305"/>
    <n v="32.140500000000003"/>
  </r>
  <r>
    <x v="1"/>
    <s v="349-97-8902"/>
    <x v="2"/>
    <x v="2"/>
    <x v="0"/>
    <x v="3"/>
    <n v="57.89"/>
    <x v="4"/>
    <n v="5.7890000000000006"/>
    <n v="121.569"/>
  </r>
  <r>
    <x v="1"/>
    <s v="789-23-8625"/>
    <x v="2"/>
    <x v="2"/>
    <x v="0"/>
    <x v="4"/>
    <n v="93.22"/>
    <x v="5"/>
    <n v="13.982999999999999"/>
    <n v="293.64299999999997"/>
  </r>
  <r>
    <x v="1"/>
    <s v="284-54-4231"/>
    <x v="1"/>
    <x v="1"/>
    <x v="0"/>
    <x v="5"/>
    <n v="80.930000000000007"/>
    <x v="8"/>
    <n v="4.0465000000000009"/>
    <n v="84.976500000000001"/>
  </r>
  <r>
    <x v="1"/>
    <s v="443-59-0061"/>
    <x v="0"/>
    <x v="0"/>
    <x v="0"/>
    <x v="3"/>
    <n v="67.45"/>
    <x v="3"/>
    <n v="33.725000000000001"/>
    <n v="708.22500000000002"/>
  </r>
  <r>
    <x v="1"/>
    <s v="327-40-9673"/>
    <x v="2"/>
    <x v="2"/>
    <x v="0"/>
    <x v="5"/>
    <n v="72.599999999999994"/>
    <x v="2"/>
    <n v="21.78"/>
    <n v="457.38"/>
  </r>
  <r>
    <x v="1"/>
    <s v="840-19-2096"/>
    <x v="1"/>
    <x v="1"/>
    <x v="0"/>
    <x v="1"/>
    <n v="87.91"/>
    <x v="1"/>
    <n v="21.977499999999999"/>
    <n v="461.52749999999997"/>
  </r>
  <r>
    <x v="1"/>
    <s v="828-46-6863"/>
    <x v="0"/>
    <x v="0"/>
    <x v="0"/>
    <x v="3"/>
    <n v="98.53"/>
    <x v="2"/>
    <n v="29.559000000000005"/>
    <n v="620.73900000000003"/>
  </r>
  <r>
    <x v="1"/>
    <s v="598-06-7312"/>
    <x v="2"/>
    <x v="2"/>
    <x v="0"/>
    <x v="4"/>
    <n v="91.35"/>
    <x v="8"/>
    <n v="4.5674999999999999"/>
    <n v="95.91749999999999"/>
  </r>
  <r>
    <x v="1"/>
    <s v="816-57-2053"/>
    <x v="0"/>
    <x v="0"/>
    <x v="1"/>
    <x v="5"/>
    <n v="60.87"/>
    <x v="4"/>
    <n v="6.0869999999999997"/>
    <n v="127.827"/>
  </r>
  <r>
    <x v="1"/>
    <s v="628-90-8624"/>
    <x v="2"/>
    <x v="2"/>
    <x v="0"/>
    <x v="0"/>
    <n v="82.58"/>
    <x v="3"/>
    <n v="41.29"/>
    <n v="867.08999999999992"/>
  </r>
  <r>
    <x v="1"/>
    <s v="856-66-2701"/>
    <x v="0"/>
    <x v="0"/>
    <x v="0"/>
    <x v="2"/>
    <n v="53.3"/>
    <x v="5"/>
    <n v="7.9949999999999992"/>
    <n v="167.89499999999998"/>
  </r>
  <r>
    <x v="1"/>
    <s v="149-61-1929"/>
    <x v="0"/>
    <x v="0"/>
    <x v="1"/>
    <x v="5"/>
    <n v="64.19"/>
    <x v="3"/>
    <n v="32.094999999999999"/>
    <n v="673.995"/>
  </r>
  <r>
    <x v="1"/>
    <s v="655-07-2265"/>
    <x v="0"/>
    <x v="0"/>
    <x v="1"/>
    <x v="1"/>
    <n v="78.31"/>
    <x v="5"/>
    <n v="11.746500000000001"/>
    <n v="246.6765"/>
  </r>
  <r>
    <x v="1"/>
    <s v="589-02-8023"/>
    <x v="0"/>
    <x v="0"/>
    <x v="0"/>
    <x v="3"/>
    <n v="83.77"/>
    <x v="4"/>
    <n v="8.3770000000000007"/>
    <n v="175.917"/>
  </r>
  <r>
    <x v="1"/>
    <s v="420-04-7590"/>
    <x v="2"/>
    <x v="2"/>
    <x v="1"/>
    <x v="2"/>
    <n v="99.7"/>
    <x v="5"/>
    <n v="14.955000000000002"/>
    <n v="314.05500000000001"/>
  </r>
  <r>
    <x v="1"/>
    <s v="182-88-2763"/>
    <x v="2"/>
    <x v="2"/>
    <x v="0"/>
    <x v="3"/>
    <n v="79.91"/>
    <x v="5"/>
    <n v="11.986499999999999"/>
    <n v="251.7165"/>
  </r>
  <r>
    <x v="1"/>
    <s v="188-55-0967"/>
    <x v="2"/>
    <x v="2"/>
    <x v="0"/>
    <x v="0"/>
    <n v="66.47"/>
    <x v="3"/>
    <n v="33.235000000000007"/>
    <n v="697.93500000000006"/>
  </r>
  <r>
    <x v="1"/>
    <s v="610-46-4100"/>
    <x v="0"/>
    <x v="0"/>
    <x v="1"/>
    <x v="0"/>
    <n v="28.95"/>
    <x v="0"/>
    <n v="10.1325"/>
    <n v="212.7825"/>
  </r>
  <r>
    <x v="1"/>
    <s v="665-63-9737"/>
    <x v="2"/>
    <x v="2"/>
    <x v="1"/>
    <x v="4"/>
    <n v="52.42"/>
    <x v="5"/>
    <n v="7.8629999999999995"/>
    <n v="165.12299999999999"/>
  </r>
  <r>
    <x v="1"/>
    <s v="794-32-2436"/>
    <x v="2"/>
    <x v="2"/>
    <x v="0"/>
    <x v="1"/>
    <n v="55.67"/>
    <x v="4"/>
    <n v="5.5670000000000002"/>
    <n v="116.90700000000001"/>
  </r>
  <r>
    <x v="1"/>
    <s v="273-84-2164"/>
    <x v="1"/>
    <x v="1"/>
    <x v="0"/>
    <x v="1"/>
    <n v="12.05"/>
    <x v="1"/>
    <n v="3.0125000000000002"/>
    <n v="63.262500000000003"/>
  </r>
  <r>
    <x v="1"/>
    <s v="706-36-6154"/>
    <x v="0"/>
    <x v="0"/>
    <x v="0"/>
    <x v="2"/>
    <n v="19.36"/>
    <x v="9"/>
    <n v="8.7120000000000015"/>
    <n v="182.952"/>
  </r>
  <r>
    <x v="1"/>
    <s v="778-89-7974"/>
    <x v="1"/>
    <x v="1"/>
    <x v="1"/>
    <x v="0"/>
    <n v="70.209999999999994"/>
    <x v="2"/>
    <n v="21.063000000000002"/>
    <n v="442.32299999999998"/>
  </r>
  <r>
    <x v="1"/>
    <s v="574-31-8277"/>
    <x v="2"/>
    <x v="2"/>
    <x v="0"/>
    <x v="4"/>
    <n v="33.630000000000003"/>
    <x v="8"/>
    <n v="1.6815000000000002"/>
    <n v="35.311500000000002"/>
  </r>
  <r>
    <x v="1"/>
    <s v="740-11-5257"/>
    <x v="1"/>
    <x v="1"/>
    <x v="1"/>
    <x v="1"/>
    <n v="24.74"/>
    <x v="3"/>
    <n v="12.37"/>
    <n v="259.77"/>
  </r>
  <r>
    <x v="1"/>
    <s v="369-82-2676"/>
    <x v="2"/>
    <x v="2"/>
    <x v="1"/>
    <x v="1"/>
    <n v="75.66"/>
    <x v="1"/>
    <n v="18.914999999999999"/>
    <n v="397.21499999999997"/>
  </r>
  <r>
    <x v="1"/>
    <s v="742-04-5161"/>
    <x v="0"/>
    <x v="0"/>
    <x v="0"/>
    <x v="2"/>
    <n v="72.78"/>
    <x v="3"/>
    <n v="36.39"/>
    <n v="764.18999999999994"/>
  </r>
  <r>
    <x v="1"/>
    <s v="149-15-7606"/>
    <x v="2"/>
    <x v="2"/>
    <x v="0"/>
    <x v="5"/>
    <n v="37.32"/>
    <x v="9"/>
    <n v="16.794"/>
    <n v="352.67399999999998"/>
  </r>
  <r>
    <x v="1"/>
    <s v="133-77-3154"/>
    <x v="2"/>
    <x v="2"/>
    <x v="0"/>
    <x v="4"/>
    <n v="60.18"/>
    <x v="6"/>
    <n v="12.036000000000001"/>
    <n v="252.756"/>
  </r>
  <r>
    <x v="1"/>
    <s v="491-38-3499"/>
    <x v="0"/>
    <x v="0"/>
    <x v="0"/>
    <x v="4"/>
    <n v="55.45"/>
    <x v="8"/>
    <n v="2.7725000000000004"/>
    <n v="58.222500000000004"/>
  </r>
  <r>
    <x v="1"/>
    <s v="842-29-4695"/>
    <x v="1"/>
    <x v="1"/>
    <x v="0"/>
    <x v="5"/>
    <n v="17.14"/>
    <x v="0"/>
    <n v="5.9990000000000006"/>
    <n v="125.979"/>
  </r>
  <r>
    <x v="1"/>
    <s v="779-42-2410"/>
    <x v="2"/>
    <x v="2"/>
    <x v="0"/>
    <x v="3"/>
    <n v="57.74"/>
    <x v="5"/>
    <n v="8.6609999999999996"/>
    <n v="181.881"/>
  </r>
  <r>
    <x v="1"/>
    <s v="588-47-8641"/>
    <x v="0"/>
    <x v="0"/>
    <x v="0"/>
    <x v="4"/>
    <n v="56.04"/>
    <x v="3"/>
    <n v="28.02"/>
    <n v="588.41999999999996"/>
  </r>
  <r>
    <x v="1"/>
    <s v="642-61-4706"/>
    <x v="2"/>
    <x v="2"/>
    <x v="0"/>
    <x v="3"/>
    <n v="93.4"/>
    <x v="4"/>
    <n v="9.3400000000000016"/>
    <n v="196.14000000000001"/>
  </r>
  <r>
    <x v="1"/>
    <s v="556-41-6224"/>
    <x v="1"/>
    <x v="1"/>
    <x v="1"/>
    <x v="0"/>
    <n v="33.64"/>
    <x v="7"/>
    <n v="13.456000000000001"/>
    <n v="282.57600000000002"/>
  </r>
  <r>
    <x v="1"/>
    <s v="242-11-3142"/>
    <x v="2"/>
    <x v="2"/>
    <x v="0"/>
    <x v="4"/>
    <n v="83.77"/>
    <x v="4"/>
    <n v="8.3770000000000007"/>
    <n v="175.917"/>
  </r>
  <r>
    <x v="1"/>
    <s v="648-94-3045"/>
    <x v="1"/>
    <x v="1"/>
    <x v="1"/>
    <x v="0"/>
    <n v="58.95"/>
    <x v="3"/>
    <n v="29.475000000000001"/>
    <n v="618.97500000000002"/>
  </r>
  <r>
    <x v="1"/>
    <s v="130-67-4723"/>
    <x v="0"/>
    <x v="0"/>
    <x v="0"/>
    <x v="3"/>
    <n v="48.5"/>
    <x v="2"/>
    <n v="14.55"/>
    <n v="305.55"/>
  </r>
  <r>
    <x v="1"/>
    <s v="105-10-6182"/>
    <x v="0"/>
    <x v="0"/>
    <x v="0"/>
    <x v="4"/>
    <n v="21.48"/>
    <x v="4"/>
    <n v="2.1480000000000001"/>
    <n v="45.108000000000004"/>
  </r>
  <r>
    <x v="1"/>
    <s v="648-83-1321"/>
    <x v="0"/>
    <x v="0"/>
    <x v="0"/>
    <x v="2"/>
    <n v="63.56"/>
    <x v="3"/>
    <n v="31.78"/>
    <n v="667.38"/>
  </r>
  <r>
    <x v="1"/>
    <s v="173-57-2300"/>
    <x v="1"/>
    <x v="1"/>
    <x v="0"/>
    <x v="5"/>
    <n v="72.88"/>
    <x v="4"/>
    <n v="7.2880000000000003"/>
    <n v="153.048"/>
  </r>
  <r>
    <x v="1"/>
    <s v="266-20-6657"/>
    <x v="1"/>
    <x v="1"/>
    <x v="0"/>
    <x v="3"/>
    <n v="55.04"/>
    <x v="0"/>
    <n v="19.263999999999999"/>
    <n v="404.54399999999998"/>
  </r>
  <r>
    <x v="1"/>
    <s v="689-05-1884"/>
    <x v="0"/>
    <x v="0"/>
    <x v="0"/>
    <x v="0"/>
    <n v="48.63"/>
    <x v="3"/>
    <n v="24.315000000000001"/>
    <n v="510.61500000000001"/>
  </r>
  <r>
    <x v="1"/>
    <s v="826-58-8051"/>
    <x v="2"/>
    <x v="2"/>
    <x v="1"/>
    <x v="2"/>
    <n v="62.19"/>
    <x v="6"/>
    <n v="12.438000000000001"/>
    <n v="261.19799999999998"/>
  </r>
  <r>
    <x v="1"/>
    <s v="868-06-0466"/>
    <x v="0"/>
    <x v="0"/>
    <x v="0"/>
    <x v="1"/>
    <n v="69.58"/>
    <x v="9"/>
    <n v="31.311000000000003"/>
    <n v="657.53100000000006"/>
  </r>
  <r>
    <x v="1"/>
    <s v="751-41-9720"/>
    <x v="1"/>
    <x v="1"/>
    <x v="1"/>
    <x v="2"/>
    <n v="97.5"/>
    <x v="3"/>
    <n v="48.75"/>
    <n v="1023.75"/>
  </r>
  <r>
    <x v="1"/>
    <s v="176-64-7711"/>
    <x v="2"/>
    <x v="2"/>
    <x v="1"/>
    <x v="3"/>
    <n v="32.32"/>
    <x v="5"/>
    <n v="4.8480000000000008"/>
    <n v="101.80800000000001"/>
  </r>
  <r>
    <x v="1"/>
    <s v="729-06-2010"/>
    <x v="2"/>
    <x v="2"/>
    <x v="0"/>
    <x v="0"/>
    <n v="80.47"/>
    <x v="9"/>
    <n v="36.211500000000001"/>
    <n v="760.44150000000002"/>
  </r>
  <r>
    <x v="1"/>
    <s v="186-79-9562"/>
    <x v="2"/>
    <x v="2"/>
    <x v="1"/>
    <x v="0"/>
    <n v="71.77"/>
    <x v="0"/>
    <n v="25.119500000000002"/>
    <n v="527.5095"/>
  </r>
  <r>
    <x v="1"/>
    <s v="162-65-8559"/>
    <x v="1"/>
    <x v="1"/>
    <x v="0"/>
    <x v="3"/>
    <n v="68.98"/>
    <x v="8"/>
    <n v="3.4490000000000003"/>
    <n v="72.429000000000002"/>
  </r>
  <r>
    <x v="1"/>
    <s v="760-27-5490"/>
    <x v="1"/>
    <x v="1"/>
    <x v="1"/>
    <x v="4"/>
    <n v="15.62"/>
    <x v="7"/>
    <n v="6.2480000000000002"/>
    <n v="131.208"/>
  </r>
  <r>
    <x v="1"/>
    <s v="445-30-9252"/>
    <x v="0"/>
    <x v="0"/>
    <x v="1"/>
    <x v="5"/>
    <n v="25.7"/>
    <x v="5"/>
    <n v="3.855"/>
    <n v="80.954999999999998"/>
  </r>
  <r>
    <x v="1"/>
    <s v="786-94-2700"/>
    <x v="0"/>
    <x v="0"/>
    <x v="0"/>
    <x v="3"/>
    <n v="80.62"/>
    <x v="2"/>
    <n v="24.186000000000003"/>
    <n v="507.90600000000001"/>
  </r>
  <r>
    <x v="1"/>
    <s v="735-32-9839"/>
    <x v="1"/>
    <x v="1"/>
    <x v="0"/>
    <x v="4"/>
    <n v="98.7"/>
    <x v="7"/>
    <n v="39.480000000000004"/>
    <n v="829.08"/>
  </r>
  <r>
    <x v="1"/>
    <s v="482-17-1179"/>
    <x v="0"/>
    <x v="0"/>
    <x v="0"/>
    <x v="1"/>
    <n v="11.94"/>
    <x v="5"/>
    <n v="1.7910000000000001"/>
    <n v="37.610999999999997"/>
  </r>
  <r>
    <x v="1"/>
    <s v="788-21-5741"/>
    <x v="0"/>
    <x v="0"/>
    <x v="1"/>
    <x v="4"/>
    <n v="45.38"/>
    <x v="5"/>
    <n v="6.8070000000000013"/>
    <n v="142.947"/>
  </r>
  <r>
    <x v="1"/>
    <s v="776-68-1096"/>
    <x v="2"/>
    <x v="2"/>
    <x v="1"/>
    <x v="2"/>
    <n v="44.12"/>
    <x v="5"/>
    <n v="6.6179999999999994"/>
    <n v="138.97799999999998"/>
  </r>
  <r>
    <x v="1"/>
    <s v="434-35-9162"/>
    <x v="2"/>
    <x v="2"/>
    <x v="0"/>
    <x v="3"/>
    <n v="23.34"/>
    <x v="6"/>
    <n v="4.6680000000000001"/>
    <n v="98.028000000000006"/>
  </r>
  <r>
    <x v="1"/>
    <s v="442-44-6497"/>
    <x v="1"/>
    <x v="1"/>
    <x v="0"/>
    <x v="2"/>
    <n v="55.57"/>
    <x v="5"/>
    <n v="8.3355000000000015"/>
    <n v="175.0455"/>
  </r>
  <r>
    <x v="1"/>
    <s v="174-64-0215"/>
    <x v="2"/>
    <x v="2"/>
    <x v="1"/>
    <x v="5"/>
    <n v="69.739999999999995"/>
    <x v="3"/>
    <n v="34.869999999999997"/>
    <n v="732.27"/>
  </r>
  <r>
    <x v="1"/>
    <s v="210-74-9613"/>
    <x v="1"/>
    <x v="1"/>
    <x v="1"/>
    <x v="4"/>
    <n v="97.26"/>
    <x v="6"/>
    <n v="19.452000000000002"/>
    <n v="408.49200000000002"/>
  </r>
  <r>
    <x v="1"/>
    <s v="635-28-5728"/>
    <x v="0"/>
    <x v="0"/>
    <x v="1"/>
    <x v="0"/>
    <n v="56"/>
    <x v="5"/>
    <n v="8.4"/>
    <n v="176.4"/>
  </r>
  <r>
    <x v="1"/>
    <s v="756-49-0168"/>
    <x v="0"/>
    <x v="0"/>
    <x v="0"/>
    <x v="4"/>
    <n v="19.7"/>
    <x v="8"/>
    <n v="0.98499999999999999"/>
    <n v="20.684999999999999"/>
  </r>
  <r>
    <x v="1"/>
    <s v="438-23-1242"/>
    <x v="2"/>
    <x v="2"/>
    <x v="1"/>
    <x v="1"/>
    <n v="75.88"/>
    <x v="0"/>
    <n v="26.558"/>
    <n v="557.71799999999996"/>
  </r>
  <r>
    <x v="1"/>
    <s v="238-45-6950"/>
    <x v="2"/>
    <x v="2"/>
    <x v="0"/>
    <x v="3"/>
    <n v="53.72"/>
    <x v="8"/>
    <n v="2.6859999999999999"/>
    <n v="56.405999999999999"/>
  </r>
  <r>
    <x v="1"/>
    <s v="607-65-2441"/>
    <x v="1"/>
    <x v="1"/>
    <x v="0"/>
    <x v="0"/>
    <n v="81.95"/>
    <x v="3"/>
    <n v="40.975000000000001"/>
    <n v="860.47500000000002"/>
  </r>
  <r>
    <x v="1"/>
    <s v="137-63-5492"/>
    <x v="1"/>
    <x v="1"/>
    <x v="1"/>
    <x v="1"/>
    <n v="58.76"/>
    <x v="3"/>
    <n v="29.380000000000003"/>
    <n v="616.98"/>
  </r>
  <r>
    <x v="1"/>
    <s v="197-77-7132"/>
    <x v="2"/>
    <x v="2"/>
    <x v="0"/>
    <x v="1"/>
    <n v="91.56"/>
    <x v="7"/>
    <n v="36.624000000000002"/>
    <n v="769.10400000000004"/>
  </r>
  <r>
    <x v="1"/>
    <s v="805-86-0265"/>
    <x v="0"/>
    <x v="0"/>
    <x v="1"/>
    <x v="2"/>
    <n v="93.96"/>
    <x v="9"/>
    <n v="42.282000000000004"/>
    <n v="887.92200000000003"/>
  </r>
  <r>
    <x v="1"/>
    <s v="733-29-1227"/>
    <x v="1"/>
    <x v="1"/>
    <x v="1"/>
    <x v="2"/>
    <n v="55.61"/>
    <x v="0"/>
    <n v="19.4635"/>
    <n v="408.73349999999999"/>
  </r>
  <r>
    <x v="1"/>
    <s v="451-73-2711"/>
    <x v="1"/>
    <x v="1"/>
    <x v="1"/>
    <x v="3"/>
    <n v="84.83"/>
    <x v="8"/>
    <n v="4.2415000000000003"/>
    <n v="89.0715"/>
  </r>
  <r>
    <x v="1"/>
    <s v="546-80-2899"/>
    <x v="0"/>
    <x v="0"/>
    <x v="0"/>
    <x v="2"/>
    <n v="37.69"/>
    <x v="4"/>
    <n v="3.7690000000000001"/>
    <n v="79.149000000000001"/>
  </r>
  <r>
    <x v="1"/>
    <s v="457-13-1708"/>
    <x v="2"/>
    <x v="2"/>
    <x v="0"/>
    <x v="4"/>
    <n v="65.23"/>
    <x v="3"/>
    <n v="32.615000000000002"/>
    <n v="684.91500000000008"/>
  </r>
  <r>
    <x v="1"/>
    <s v="314-23-4520"/>
    <x v="1"/>
    <x v="1"/>
    <x v="0"/>
    <x v="0"/>
    <n v="81.23"/>
    <x v="0"/>
    <n v="28.430500000000002"/>
    <n v="597.04050000000007"/>
  </r>
  <r>
    <x v="1"/>
    <s v="775-72-1988"/>
    <x v="2"/>
    <x v="2"/>
    <x v="1"/>
    <x v="2"/>
    <n v="73.28"/>
    <x v="1"/>
    <n v="18.32"/>
    <n v="384.71999999999997"/>
  </r>
  <r>
    <x v="1"/>
    <s v="250-17-5703"/>
    <x v="0"/>
    <x v="0"/>
    <x v="0"/>
    <x v="3"/>
    <n v="18.850000000000001"/>
    <x v="3"/>
    <n v="9.4250000000000007"/>
    <n v="197.92500000000001"/>
  </r>
  <r>
    <x v="1"/>
    <s v="525-09-8450"/>
    <x v="2"/>
    <x v="2"/>
    <x v="1"/>
    <x v="1"/>
    <n v="72.13"/>
    <x v="3"/>
    <n v="36.064999999999998"/>
    <n v="757.36500000000001"/>
  </r>
  <r>
    <x v="1"/>
    <s v="787-87-2010"/>
    <x v="0"/>
    <x v="0"/>
    <x v="0"/>
    <x v="0"/>
    <n v="55.5"/>
    <x v="6"/>
    <n v="11.100000000000001"/>
    <n v="233.1"/>
  </r>
  <r>
    <x v="1"/>
    <s v="388-76-2555"/>
    <x v="2"/>
    <x v="2"/>
    <x v="1"/>
    <x v="5"/>
    <n v="13.69"/>
    <x v="2"/>
    <n v="4.1070000000000002"/>
    <n v="86.247"/>
  </r>
  <r>
    <x v="1"/>
    <s v="200-16-5952"/>
    <x v="1"/>
    <x v="1"/>
    <x v="0"/>
    <x v="3"/>
    <n v="65.650000000000006"/>
    <x v="4"/>
    <n v="6.5650000000000013"/>
    <n v="137.86500000000001"/>
  </r>
  <r>
    <x v="1"/>
    <s v="102-77-2261"/>
    <x v="1"/>
    <x v="1"/>
    <x v="0"/>
    <x v="0"/>
    <n v="65.31"/>
    <x v="0"/>
    <n v="22.858500000000003"/>
    <n v="480.02850000000001"/>
  </r>
  <r>
    <x v="1"/>
    <s v="875-31-8302"/>
    <x v="2"/>
    <x v="2"/>
    <x v="1"/>
    <x v="5"/>
    <n v="93.38"/>
    <x v="8"/>
    <n v="4.6689999999999996"/>
    <n v="98.048999999999992"/>
  </r>
  <r>
    <x v="1"/>
    <s v="102-06-2002"/>
    <x v="1"/>
    <x v="1"/>
    <x v="0"/>
    <x v="5"/>
    <n v="25.25"/>
    <x v="1"/>
    <n v="6.3125"/>
    <n v="132.5625"/>
  </r>
  <r>
    <x v="1"/>
    <s v="457-94-0464"/>
    <x v="2"/>
    <x v="2"/>
    <x v="0"/>
    <x v="1"/>
    <n v="87.87"/>
    <x v="9"/>
    <n v="39.541500000000006"/>
    <n v="830.37150000000008"/>
  </r>
  <r>
    <x v="1"/>
    <s v="629-42-4133"/>
    <x v="1"/>
    <x v="1"/>
    <x v="1"/>
    <x v="0"/>
    <n v="21.8"/>
    <x v="7"/>
    <n v="8.7200000000000006"/>
    <n v="183.12"/>
  </r>
  <r>
    <x v="1"/>
    <s v="404-91-5964"/>
    <x v="0"/>
    <x v="0"/>
    <x v="1"/>
    <x v="1"/>
    <n v="74.58"/>
    <x v="0"/>
    <n v="26.102999999999998"/>
    <n v="548.1629999999999"/>
  </r>
  <r>
    <x v="1"/>
    <s v="886-77-9084"/>
    <x v="1"/>
    <x v="1"/>
    <x v="1"/>
    <x v="1"/>
    <n v="71.89"/>
    <x v="7"/>
    <n v="28.756"/>
    <n v="603.87599999999998"/>
  </r>
  <r>
    <x v="1"/>
    <s v="704-10-4056"/>
    <x v="1"/>
    <x v="1"/>
    <x v="0"/>
    <x v="0"/>
    <n v="60.47"/>
    <x v="5"/>
    <n v="9.0705000000000009"/>
    <n v="190.48050000000001"/>
  </r>
  <r>
    <x v="1"/>
    <s v="497-37-6538"/>
    <x v="0"/>
    <x v="0"/>
    <x v="1"/>
    <x v="5"/>
    <n v="58.91"/>
    <x v="0"/>
    <n v="20.618500000000001"/>
    <n v="432.98849999999999"/>
  </r>
  <r>
    <x v="1"/>
    <s v="651-96-5970"/>
    <x v="0"/>
    <x v="0"/>
    <x v="1"/>
    <x v="4"/>
    <n v="46.41"/>
    <x v="8"/>
    <n v="2.3205"/>
    <n v="48.730499999999999"/>
  </r>
  <r>
    <x v="1"/>
    <s v="400-80-4065"/>
    <x v="1"/>
    <x v="1"/>
    <x v="0"/>
    <x v="0"/>
    <n v="68.55"/>
    <x v="6"/>
    <n v="13.71"/>
    <n v="287.90999999999997"/>
  </r>
  <r>
    <x v="1"/>
    <s v="263-12-5321"/>
    <x v="0"/>
    <x v="0"/>
    <x v="0"/>
    <x v="1"/>
    <n v="92.6"/>
    <x v="0"/>
    <n v="32.409999999999997"/>
    <n v="680.6099999999999"/>
  </r>
  <r>
    <x v="1"/>
    <s v="605-83-1050"/>
    <x v="2"/>
    <x v="2"/>
    <x v="1"/>
    <x v="4"/>
    <n v="27.18"/>
    <x v="4"/>
    <n v="2.718"/>
    <n v="57.078000000000003"/>
  </r>
  <r>
    <x v="1"/>
    <s v="359-94-5395"/>
    <x v="2"/>
    <x v="2"/>
    <x v="1"/>
    <x v="0"/>
    <n v="92.78"/>
    <x v="8"/>
    <n v="4.6390000000000002"/>
    <n v="97.418999999999997"/>
  </r>
  <r>
    <x v="1"/>
    <s v="401-09-4232"/>
    <x v="1"/>
    <x v="1"/>
    <x v="0"/>
    <x v="2"/>
    <n v="86.69"/>
    <x v="1"/>
    <n v="21.672499999999999"/>
    <n v="455.1225"/>
  </r>
  <r>
    <x v="1"/>
    <s v="751-15-6198"/>
    <x v="2"/>
    <x v="2"/>
    <x v="1"/>
    <x v="5"/>
    <n v="23.01"/>
    <x v="2"/>
    <n v="6.9030000000000005"/>
    <n v="144.96299999999999"/>
  </r>
  <r>
    <x v="1"/>
    <s v="474-33-8305"/>
    <x v="1"/>
    <x v="1"/>
    <x v="0"/>
    <x v="4"/>
    <n v="67.39"/>
    <x v="0"/>
    <n v="23.586500000000001"/>
    <n v="495.31650000000002"/>
  </r>
  <r>
    <x v="1"/>
    <s v="565-91-4567"/>
    <x v="2"/>
    <x v="2"/>
    <x v="1"/>
    <x v="0"/>
    <n v="10.75"/>
    <x v="7"/>
    <n v="4.3"/>
    <n v="90.3"/>
  </r>
  <r>
    <x v="1"/>
    <s v="674-56-6360"/>
    <x v="0"/>
    <x v="0"/>
    <x v="1"/>
    <x v="1"/>
    <n v="95.15"/>
    <x v="8"/>
    <n v="4.7575000000000003"/>
    <n v="99.907499999999999"/>
  </r>
  <r>
    <x v="1"/>
    <s v="832-51-6761"/>
    <x v="0"/>
    <x v="0"/>
    <x v="1"/>
    <x v="3"/>
    <n v="33.880000000000003"/>
    <x v="7"/>
    <n v="13.552000000000001"/>
    <n v="284.59200000000004"/>
  </r>
  <r>
    <x v="1"/>
    <s v="869-11-3082"/>
    <x v="2"/>
    <x v="2"/>
    <x v="0"/>
    <x v="0"/>
    <n v="96.16"/>
    <x v="6"/>
    <n v="19.231999999999999"/>
    <n v="403.87199999999996"/>
  </r>
  <r>
    <x v="1"/>
    <s v="190-59-3964"/>
    <x v="2"/>
    <x v="2"/>
    <x v="0"/>
    <x v="3"/>
    <n v="47.16"/>
    <x v="1"/>
    <n v="11.79"/>
    <n v="247.58999999999997"/>
  </r>
  <r>
    <x v="1"/>
    <s v="366-43-6862"/>
    <x v="2"/>
    <x v="2"/>
    <x v="1"/>
    <x v="1"/>
    <n v="52.89"/>
    <x v="6"/>
    <n v="10.578000000000001"/>
    <n v="222.13800000000001"/>
  </r>
  <r>
    <x v="1"/>
    <s v="784-21-9238"/>
    <x v="1"/>
    <x v="1"/>
    <x v="0"/>
    <x v="5"/>
    <n v="10.17"/>
    <x v="8"/>
    <n v="0.50850000000000006"/>
    <n v="10.6785"/>
  </r>
  <r>
    <x v="1"/>
    <s v="760-53-9233"/>
    <x v="0"/>
    <x v="0"/>
    <x v="0"/>
    <x v="4"/>
    <n v="41.28"/>
    <x v="5"/>
    <n v="6.1920000000000002"/>
    <n v="130.03200000000001"/>
  </r>
  <r>
    <x v="1"/>
    <s v="538-22-0304"/>
    <x v="1"/>
    <x v="1"/>
    <x v="1"/>
    <x v="1"/>
    <n v="64.95"/>
    <x v="3"/>
    <n v="32.475000000000001"/>
    <n v="681.97500000000002"/>
  </r>
  <r>
    <x v="1"/>
    <s v="237-44-6163"/>
    <x v="0"/>
    <x v="0"/>
    <x v="1"/>
    <x v="1"/>
    <n v="10.56"/>
    <x v="7"/>
    <n v="4.2240000000000002"/>
    <n v="88.704000000000008"/>
  </r>
  <r>
    <x v="1"/>
    <s v="636-17-0325"/>
    <x v="2"/>
    <x v="2"/>
    <x v="1"/>
    <x v="0"/>
    <n v="62.57"/>
    <x v="6"/>
    <n v="12.514000000000001"/>
    <n v="262.79399999999998"/>
  </r>
  <r>
    <x v="1"/>
    <s v="528-14-9470"/>
    <x v="0"/>
    <x v="0"/>
    <x v="0"/>
    <x v="0"/>
    <n v="91.3"/>
    <x v="8"/>
    <n v="4.5650000000000004"/>
    <n v="95.864999999999995"/>
  </r>
  <r>
    <x v="1"/>
    <s v="807-34-3742"/>
    <x v="0"/>
    <x v="0"/>
    <x v="1"/>
    <x v="4"/>
    <n v="52.38"/>
    <x v="8"/>
    <n v="2.6190000000000002"/>
    <n v="54.999000000000002"/>
  </r>
  <r>
    <x v="1"/>
    <s v="288-62-1085"/>
    <x v="0"/>
    <x v="0"/>
    <x v="0"/>
    <x v="4"/>
    <n v="38.54"/>
    <x v="1"/>
    <n v="9.6349999999999998"/>
    <n v="202.33499999999998"/>
  </r>
  <r>
    <x v="1"/>
    <s v="670-71-7306"/>
    <x v="2"/>
    <x v="2"/>
    <x v="1"/>
    <x v="5"/>
    <n v="44.63"/>
    <x v="2"/>
    <n v="13.389000000000003"/>
    <n v="281.16900000000004"/>
  </r>
  <r>
    <x v="1"/>
    <s v="660-29-7083"/>
    <x v="1"/>
    <x v="1"/>
    <x v="1"/>
    <x v="1"/>
    <n v="55.87"/>
    <x v="3"/>
    <n v="27.934999999999999"/>
    <n v="586.63499999999988"/>
  </r>
  <r>
    <x v="1"/>
    <s v="497-36-0989"/>
    <x v="0"/>
    <x v="0"/>
    <x v="1"/>
    <x v="4"/>
    <n v="51.94"/>
    <x v="5"/>
    <n v="7.7910000000000004"/>
    <n v="163.61099999999999"/>
  </r>
  <r>
    <x v="1"/>
    <s v="291-59-1384"/>
    <x v="2"/>
    <x v="2"/>
    <x v="1"/>
    <x v="1"/>
    <n v="60.3"/>
    <x v="8"/>
    <n v="3.0150000000000001"/>
    <n v="63.314999999999998"/>
  </r>
  <r>
    <x v="1"/>
    <s v="896-34-0956"/>
    <x v="0"/>
    <x v="0"/>
    <x v="1"/>
    <x v="4"/>
    <n v="21.32"/>
    <x v="8"/>
    <n v="1.0660000000000001"/>
    <n v="22.385999999999999"/>
  </r>
  <r>
    <x v="1"/>
    <s v="804-38-3935"/>
    <x v="0"/>
    <x v="0"/>
    <x v="0"/>
    <x v="1"/>
    <n v="93.78"/>
    <x v="5"/>
    <n v="14.067000000000002"/>
    <n v="295.40700000000004"/>
  </r>
  <r>
    <x v="1"/>
    <s v="585-90-0249"/>
    <x v="0"/>
    <x v="0"/>
    <x v="0"/>
    <x v="1"/>
    <n v="73.260000000000005"/>
    <x v="8"/>
    <n v="3.6630000000000003"/>
    <n v="76.923000000000002"/>
  </r>
  <r>
    <x v="1"/>
    <s v="843-73-4724"/>
    <x v="0"/>
    <x v="0"/>
    <x v="1"/>
    <x v="4"/>
    <n v="74.099999999999994"/>
    <x v="8"/>
    <n v="3.7050000000000001"/>
    <n v="77.804999999999993"/>
  </r>
  <r>
    <x v="1"/>
    <s v="658-66-3967"/>
    <x v="1"/>
    <x v="1"/>
    <x v="1"/>
    <x v="0"/>
    <n v="53.19"/>
    <x v="0"/>
    <n v="18.616499999999998"/>
    <n v="390.94649999999996"/>
  </r>
  <r>
    <x v="1"/>
    <s v="770-42-8960"/>
    <x v="2"/>
    <x v="2"/>
    <x v="1"/>
    <x v="3"/>
    <n v="21.12"/>
    <x v="7"/>
    <n v="8.4480000000000004"/>
    <n v="177.40800000000002"/>
  </r>
  <r>
    <x v="1"/>
    <s v="234-36-2483"/>
    <x v="2"/>
    <x v="2"/>
    <x v="1"/>
    <x v="0"/>
    <n v="57.59"/>
    <x v="2"/>
    <n v="17.277000000000001"/>
    <n v="362.81700000000001"/>
  </r>
  <r>
    <x v="1"/>
    <s v="840-76-5966"/>
    <x v="0"/>
    <x v="0"/>
    <x v="0"/>
    <x v="5"/>
    <n v="12.76"/>
    <x v="4"/>
    <n v="1.276"/>
    <n v="26.795999999999999"/>
  </r>
  <r>
    <x v="1"/>
    <s v="176-78-1170"/>
    <x v="1"/>
    <x v="1"/>
    <x v="0"/>
    <x v="0"/>
    <n v="33.81"/>
    <x v="5"/>
    <n v="5.0715000000000003"/>
    <n v="106.50150000000001"/>
  </r>
  <r>
    <x v="1"/>
    <s v="361-59-0574"/>
    <x v="2"/>
    <x v="2"/>
    <x v="0"/>
    <x v="5"/>
    <n v="90.53"/>
    <x v="7"/>
    <n v="36.212000000000003"/>
    <n v="760.452"/>
  </r>
  <r>
    <x v="1"/>
    <s v="631-34-1880"/>
    <x v="1"/>
    <x v="1"/>
    <x v="0"/>
    <x v="3"/>
    <n v="24.31"/>
    <x v="5"/>
    <n v="3.6464999999999996"/>
    <n v="76.576499999999996"/>
  </r>
  <r>
    <x v="1"/>
    <s v="852-82-2749"/>
    <x v="0"/>
    <x v="0"/>
    <x v="1"/>
    <x v="5"/>
    <n v="64.59"/>
    <x v="6"/>
    <n v="12.918000000000001"/>
    <n v="271.27800000000002"/>
  </r>
  <r>
    <x v="1"/>
    <s v="873-14-6353"/>
    <x v="0"/>
    <x v="0"/>
    <x v="0"/>
    <x v="3"/>
    <n v="24.82"/>
    <x v="0"/>
    <n v="8.6870000000000012"/>
    <n v="182.42700000000002"/>
  </r>
  <r>
    <x v="1"/>
    <s v="584-66-4073"/>
    <x v="1"/>
    <x v="1"/>
    <x v="1"/>
    <x v="4"/>
    <n v="56.5"/>
    <x v="8"/>
    <n v="2.8250000000000002"/>
    <n v="59.325000000000003"/>
  </r>
  <r>
    <x v="1"/>
    <s v="166-19-2553"/>
    <x v="0"/>
    <x v="0"/>
    <x v="0"/>
    <x v="5"/>
    <n v="89.06"/>
    <x v="2"/>
    <n v="26.718000000000004"/>
    <n v="561.07799999999997"/>
  </r>
  <r>
    <x v="1"/>
    <s v="737-88-5876"/>
    <x v="0"/>
    <x v="0"/>
    <x v="0"/>
    <x v="2"/>
    <n v="23.29"/>
    <x v="6"/>
    <n v="4.6580000000000004"/>
    <n v="97.817999999999998"/>
  </r>
  <r>
    <x v="1"/>
    <s v="154-87-7367"/>
    <x v="1"/>
    <x v="1"/>
    <x v="1"/>
    <x v="2"/>
    <n v="65.260000000000005"/>
    <x v="7"/>
    <n v="26.104000000000003"/>
    <n v="548.18400000000008"/>
  </r>
  <r>
    <x v="1"/>
    <s v="885-56-0389"/>
    <x v="1"/>
    <x v="1"/>
    <x v="0"/>
    <x v="4"/>
    <n v="52.35"/>
    <x v="8"/>
    <n v="2.6175000000000002"/>
    <n v="54.967500000000001"/>
  </r>
  <r>
    <x v="1"/>
    <s v="608-05-3804"/>
    <x v="2"/>
    <x v="2"/>
    <x v="0"/>
    <x v="1"/>
    <n v="39.75"/>
    <x v="8"/>
    <n v="1.9875"/>
    <n v="41.737499999999997"/>
  </r>
  <r>
    <x v="1"/>
    <s v="311-13-6971"/>
    <x v="2"/>
    <x v="2"/>
    <x v="0"/>
    <x v="5"/>
    <n v="31.99"/>
    <x v="3"/>
    <n v="15.994999999999999"/>
    <n v="335.89499999999998"/>
  </r>
  <r>
    <x v="1"/>
    <s v="460-93-5834"/>
    <x v="0"/>
    <x v="0"/>
    <x v="1"/>
    <x v="5"/>
    <n v="45.58"/>
    <x v="0"/>
    <n v="15.953000000000001"/>
    <n v="335.01299999999998"/>
  </r>
  <r>
    <x v="1"/>
    <s v="325-89-4209"/>
    <x v="0"/>
    <x v="0"/>
    <x v="0"/>
    <x v="3"/>
    <n v="87.9"/>
    <x v="8"/>
    <n v="4.3950000000000005"/>
    <n v="92.295000000000002"/>
  </r>
  <r>
    <x v="1"/>
    <s v="880-46-5796"/>
    <x v="0"/>
    <x v="0"/>
    <x v="0"/>
    <x v="5"/>
    <n v="76.92"/>
    <x v="3"/>
    <n v="38.460000000000008"/>
    <n v="807.66000000000008"/>
  </r>
  <r>
    <x v="1"/>
    <s v="715-20-1673"/>
    <x v="2"/>
    <x v="2"/>
    <x v="1"/>
    <x v="1"/>
    <n v="28.38"/>
    <x v="1"/>
    <n v="7.0950000000000006"/>
    <n v="148.995"/>
  </r>
  <r>
    <x v="1"/>
    <s v="811-35-1094"/>
    <x v="2"/>
    <x v="2"/>
    <x v="0"/>
    <x v="1"/>
    <n v="50.45"/>
    <x v="2"/>
    <n v="15.135000000000003"/>
    <n v="317.83500000000004"/>
  </r>
  <r>
    <x v="1"/>
    <s v="699-88-1972"/>
    <x v="2"/>
    <x v="2"/>
    <x v="1"/>
    <x v="0"/>
    <n v="99.16"/>
    <x v="7"/>
    <n v="39.664000000000001"/>
    <n v="832.94399999999996"/>
  </r>
  <r>
    <x v="1"/>
    <s v="781-84-8059"/>
    <x v="1"/>
    <x v="1"/>
    <x v="1"/>
    <x v="4"/>
    <n v="60.74"/>
    <x v="0"/>
    <n v="21.259"/>
    <n v="446.43900000000002"/>
  </r>
  <r>
    <x v="1"/>
    <s v="725-54-0677"/>
    <x v="1"/>
    <x v="1"/>
    <x v="0"/>
    <x v="0"/>
    <n v="85.6"/>
    <x v="0"/>
    <n v="29.959999999999997"/>
    <n v="629.16"/>
  </r>
  <r>
    <x v="1"/>
    <s v="146-09-5432"/>
    <x v="0"/>
    <x v="0"/>
    <x v="0"/>
    <x v="3"/>
    <n v="35.04"/>
    <x v="9"/>
    <n v="15.768000000000001"/>
    <n v="331.12800000000004"/>
  </r>
  <r>
    <x v="1"/>
    <s v="509-10-0516"/>
    <x v="2"/>
    <x v="2"/>
    <x v="1"/>
    <x v="2"/>
    <n v="45.97"/>
    <x v="6"/>
    <n v="9.1940000000000008"/>
    <n v="193.07399999999998"/>
  </r>
  <r>
    <x v="1"/>
    <s v="865-41-9075"/>
    <x v="0"/>
    <x v="0"/>
    <x v="1"/>
    <x v="3"/>
    <n v="11.53"/>
    <x v="0"/>
    <n v="4.0354999999999999"/>
    <n v="84.745499999999993"/>
  </r>
  <r>
    <x v="1"/>
    <s v="450-42-3339"/>
    <x v="1"/>
    <x v="1"/>
    <x v="1"/>
    <x v="0"/>
    <n v="84.61"/>
    <x v="3"/>
    <n v="42.305000000000007"/>
    <n v="888.40499999999997"/>
  </r>
  <r>
    <x v="1"/>
    <s v="522-57-8364"/>
    <x v="0"/>
    <x v="0"/>
    <x v="0"/>
    <x v="4"/>
    <n v="51.34"/>
    <x v="7"/>
    <n v="20.536000000000001"/>
    <n v="431.25600000000003"/>
  </r>
  <r>
    <x v="1"/>
    <s v="722-13-2115"/>
    <x v="1"/>
    <x v="1"/>
    <x v="0"/>
    <x v="5"/>
    <n v="42.85"/>
    <x v="8"/>
    <n v="2.1425000000000001"/>
    <n v="44.9925"/>
  </r>
  <r>
    <x v="1"/>
    <s v="777-67-2495"/>
    <x v="2"/>
    <x v="2"/>
    <x v="1"/>
    <x v="2"/>
    <n v="68.97"/>
    <x v="5"/>
    <n v="10.345500000000001"/>
    <n v="217.25549999999998"/>
  </r>
  <r>
    <x v="1"/>
    <s v="321-49-7382"/>
    <x v="2"/>
    <x v="2"/>
    <x v="0"/>
    <x v="5"/>
    <n v="88.31"/>
    <x v="8"/>
    <n v="4.4155000000000006"/>
    <n v="92.725499999999997"/>
  </r>
  <r>
    <x v="1"/>
    <s v="825-94-5922"/>
    <x v="2"/>
    <x v="2"/>
    <x v="1"/>
    <x v="5"/>
    <n v="25.31"/>
    <x v="4"/>
    <n v="2.5310000000000001"/>
    <n v="53.150999999999996"/>
  </r>
  <r>
    <x v="1"/>
    <s v="641-62-7288"/>
    <x v="2"/>
    <x v="2"/>
    <x v="1"/>
    <x v="2"/>
    <n v="99.92"/>
    <x v="2"/>
    <n v="29.975999999999999"/>
    <n v="629.49599999999998"/>
  </r>
  <r>
    <x v="1"/>
    <s v="458-10-8612"/>
    <x v="1"/>
    <x v="1"/>
    <x v="1"/>
    <x v="0"/>
    <n v="64.08"/>
    <x v="0"/>
    <n v="22.428000000000001"/>
    <n v="470.988"/>
  </r>
  <r>
    <x v="1"/>
    <s v="235-06-8510"/>
    <x v="1"/>
    <x v="1"/>
    <x v="0"/>
    <x v="2"/>
    <n v="85.72"/>
    <x v="5"/>
    <n v="12.857999999999999"/>
    <n v="270.01799999999997"/>
  </r>
  <r>
    <x v="1"/>
    <s v="720-72-2436"/>
    <x v="0"/>
    <x v="0"/>
    <x v="1"/>
    <x v="3"/>
    <n v="66.52"/>
    <x v="6"/>
    <n v="13.304"/>
    <n v="279.38399999999996"/>
  </r>
  <r>
    <x v="1"/>
    <s v="702-83-5291"/>
    <x v="1"/>
    <x v="1"/>
    <x v="0"/>
    <x v="4"/>
    <n v="99.82"/>
    <x v="9"/>
    <n v="44.918999999999997"/>
    <n v="943.29899999999986"/>
  </r>
  <r>
    <x v="1"/>
    <s v="449-16-6770"/>
    <x v="0"/>
    <x v="0"/>
    <x v="1"/>
    <x v="0"/>
    <n v="50.79"/>
    <x v="1"/>
    <n v="12.6975"/>
    <n v="266.64749999999998"/>
  </r>
  <r>
    <x v="1"/>
    <s v="333-23-2632"/>
    <x v="0"/>
    <x v="0"/>
    <x v="0"/>
    <x v="0"/>
    <n v="10.08"/>
    <x v="0"/>
    <n v="3.5280000000000005"/>
    <n v="74.088000000000008"/>
  </r>
  <r>
    <x v="1"/>
    <s v="859-97-6048"/>
    <x v="1"/>
    <x v="1"/>
    <x v="0"/>
    <x v="1"/>
    <n v="84.25"/>
    <x v="4"/>
    <n v="8.4250000000000007"/>
    <n v="176.92500000000001"/>
  </r>
  <r>
    <x v="1"/>
    <s v="676-10-2200"/>
    <x v="2"/>
    <x v="2"/>
    <x v="0"/>
    <x v="4"/>
    <n v="53.78"/>
    <x v="8"/>
    <n v="2.6890000000000001"/>
    <n v="56.469000000000001"/>
  </r>
  <r>
    <x v="1"/>
    <s v="373-88-1424"/>
    <x v="1"/>
    <x v="1"/>
    <x v="0"/>
    <x v="2"/>
    <n v="35.81"/>
    <x v="1"/>
    <n v="8.9525000000000006"/>
    <n v="188.0025"/>
  </r>
  <r>
    <x v="1"/>
    <s v="503-21-4385"/>
    <x v="2"/>
    <x v="2"/>
    <x v="0"/>
    <x v="0"/>
    <n v="39.909999999999997"/>
    <x v="5"/>
    <n v="5.9864999999999995"/>
    <n v="125.7165"/>
  </r>
  <r>
    <x v="1"/>
    <s v="200-40-6154"/>
    <x v="2"/>
    <x v="2"/>
    <x v="0"/>
    <x v="2"/>
    <n v="65.91"/>
    <x v="2"/>
    <n v="19.773"/>
    <n v="415.233"/>
  </r>
  <r>
    <x v="1"/>
    <s v="577-34-7579"/>
    <x v="1"/>
    <x v="1"/>
    <x v="0"/>
    <x v="3"/>
    <n v="50.49"/>
    <x v="9"/>
    <n v="22.720500000000001"/>
    <n v="477.13050000000004"/>
  </r>
  <r>
    <x v="1"/>
    <s v="430-02-3888"/>
    <x v="2"/>
    <x v="2"/>
    <x v="1"/>
    <x v="1"/>
    <n v="46.02"/>
    <x v="2"/>
    <n v="13.806000000000001"/>
    <n v="289.92599999999999"/>
  </r>
  <r>
    <x v="1"/>
    <s v="256-58-3609"/>
    <x v="1"/>
    <x v="1"/>
    <x v="0"/>
    <x v="4"/>
    <n v="91.98"/>
    <x v="8"/>
    <n v="4.5990000000000002"/>
    <n v="96.579000000000008"/>
  </r>
  <r>
    <x v="1"/>
    <s v="324-92-3863"/>
    <x v="0"/>
    <x v="0"/>
    <x v="0"/>
    <x v="1"/>
    <n v="20.89"/>
    <x v="4"/>
    <n v="2.089"/>
    <n v="43.869"/>
  </r>
  <r>
    <x v="1"/>
    <s v="364-34-2972"/>
    <x v="1"/>
    <x v="1"/>
    <x v="0"/>
    <x v="1"/>
    <n v="96.82"/>
    <x v="5"/>
    <n v="14.523"/>
    <n v="304.983"/>
  </r>
  <r>
    <x v="1"/>
    <s v="794-42-3736"/>
    <x v="2"/>
    <x v="2"/>
    <x v="1"/>
    <x v="3"/>
    <n v="33.33"/>
    <x v="4"/>
    <n v="3.3330000000000002"/>
    <n v="69.992999999999995"/>
  </r>
  <r>
    <x v="1"/>
    <s v="195-06-0432"/>
    <x v="0"/>
    <x v="0"/>
    <x v="0"/>
    <x v="2"/>
    <n v="81.010000000000005"/>
    <x v="5"/>
    <n v="12.151500000000002"/>
    <n v="255.18150000000003"/>
  </r>
  <r>
    <x v="1"/>
    <s v="448-34-8700"/>
    <x v="2"/>
    <x v="2"/>
    <x v="0"/>
    <x v="2"/>
    <n v="36.909999999999997"/>
    <x v="0"/>
    <n v="12.918500000000002"/>
    <n v="271.2885"/>
  </r>
  <r>
    <x v="1"/>
    <s v="452-04-8808"/>
    <x v="2"/>
    <x v="2"/>
    <x v="1"/>
    <x v="1"/>
    <n v="87.08"/>
    <x v="0"/>
    <n v="30.477999999999998"/>
    <n v="640.0379999999999"/>
  </r>
  <r>
    <x v="1"/>
    <s v="531-56-4728"/>
    <x v="0"/>
    <x v="0"/>
    <x v="1"/>
    <x v="2"/>
    <n v="80.08"/>
    <x v="5"/>
    <n v="12.012"/>
    <n v="252.25200000000001"/>
  </r>
  <r>
    <x v="1"/>
    <s v="744-82-9138"/>
    <x v="1"/>
    <x v="1"/>
    <x v="1"/>
    <x v="4"/>
    <n v="86.13"/>
    <x v="4"/>
    <n v="8.6129999999999995"/>
    <n v="180.87299999999999"/>
  </r>
  <r>
    <x v="1"/>
    <s v="883-69-1285"/>
    <x v="2"/>
    <x v="2"/>
    <x v="0"/>
    <x v="4"/>
    <n v="49.92"/>
    <x v="4"/>
    <n v="4.9920000000000009"/>
    <n v="104.83200000000001"/>
  </r>
  <r>
    <x v="1"/>
    <s v="518-71-6847"/>
    <x v="2"/>
    <x v="2"/>
    <x v="0"/>
    <x v="3"/>
    <n v="26.6"/>
    <x v="2"/>
    <n v="7.9800000000000013"/>
    <n v="167.58"/>
  </r>
  <r>
    <x v="1"/>
    <s v="728-47-9078"/>
    <x v="1"/>
    <x v="1"/>
    <x v="0"/>
    <x v="3"/>
    <n v="59.59"/>
    <x v="6"/>
    <n v="11.918000000000001"/>
    <n v="250.27800000000002"/>
  </r>
  <r>
    <x v="1"/>
    <s v="809-46-1866"/>
    <x v="0"/>
    <x v="0"/>
    <x v="1"/>
    <x v="0"/>
    <n v="58.15"/>
    <x v="6"/>
    <n v="11.63"/>
    <n v="244.23"/>
  </r>
  <r>
    <x v="1"/>
    <s v="148-41-7930"/>
    <x v="1"/>
    <x v="1"/>
    <x v="1"/>
    <x v="0"/>
    <n v="99.96"/>
    <x v="0"/>
    <n v="34.985999999999997"/>
    <n v="734.7059999999999"/>
  </r>
  <r>
    <x v="1"/>
    <s v="189-40-5216"/>
    <x v="1"/>
    <x v="1"/>
    <x v="1"/>
    <x v="1"/>
    <n v="96.37"/>
    <x v="0"/>
    <n v="33.729500000000002"/>
    <n v="708.31950000000006"/>
  </r>
  <r>
    <x v="1"/>
    <s v="552-44-5977"/>
    <x v="2"/>
    <x v="2"/>
    <x v="0"/>
    <x v="0"/>
    <n v="62"/>
    <x v="7"/>
    <n v="24.8"/>
    <n v="520.79999999999995"/>
  </r>
  <r>
    <x v="1"/>
    <s v="267-62-7380"/>
    <x v="1"/>
    <x v="1"/>
    <x v="0"/>
    <x v="1"/>
    <n v="82.34"/>
    <x v="3"/>
    <n v="41.170000000000009"/>
    <n v="864.57"/>
  </r>
  <r>
    <x v="1"/>
    <s v="430-53-4718"/>
    <x v="2"/>
    <x v="2"/>
    <x v="0"/>
    <x v="0"/>
    <n v="75.37"/>
    <x v="7"/>
    <n v="30.148000000000003"/>
    <n v="633.10800000000006"/>
  </r>
  <r>
    <x v="1"/>
    <s v="745-74-0715"/>
    <x v="0"/>
    <x v="0"/>
    <x v="1"/>
    <x v="1"/>
    <n v="58.03"/>
    <x v="4"/>
    <n v="5.8030000000000008"/>
    <n v="121.863"/>
  </r>
  <r>
    <x v="1"/>
    <s v="690-01-6631"/>
    <x v="2"/>
    <x v="2"/>
    <x v="1"/>
    <x v="4"/>
    <n v="17.489999999999998"/>
    <x v="3"/>
    <n v="8.7449999999999992"/>
    <n v="183.64499999999998"/>
  </r>
  <r>
    <x v="1"/>
    <s v="233-67-5758"/>
    <x v="1"/>
    <x v="1"/>
    <x v="1"/>
    <x v="0"/>
    <n v="40.35"/>
    <x v="8"/>
    <n v="2.0175000000000001"/>
    <n v="42.3675"/>
  </r>
  <r>
    <x v="1"/>
    <s v="727-02-1313"/>
    <x v="0"/>
    <x v="0"/>
    <x v="0"/>
    <x v="3"/>
    <n v="31.84"/>
    <x v="8"/>
    <n v="1.5920000000000001"/>
    <n v="33.432000000000002"/>
  </r>
  <r>
    <x v="1"/>
    <s v="347-56-2442"/>
    <x v="0"/>
    <x v="0"/>
    <x v="1"/>
    <x v="2"/>
    <n v="65.819999999999993"/>
    <x v="8"/>
    <n v="3.2909999999999999"/>
    <n v="69.110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ustomer">
  <location ref="G10:H13" firstHeaderRow="1" firstDataRow="1" firstDataCol="1"/>
  <pivotFields count="10">
    <pivotField axis="axisRow" showAll="0">
      <items count="3">
        <item x="0"/>
        <item x="1"/>
        <item t="default"/>
      </items>
    </pivotField>
    <pivotField showAll="0"/>
    <pivotField showAll="0"/>
    <pivotField showAll="0">
      <items count="4">
        <item x="2"/>
        <item x="1"/>
        <item x="0"/>
        <item t="default"/>
      </items>
    </pivotField>
    <pivotField axis="axisRow" showAll="0">
      <items count="3">
        <item sd="0" x="0"/>
        <item sd="0" x="1"/>
        <item t="default"/>
      </items>
    </pivotField>
    <pivotField showAll="0"/>
    <pivotField showAll="0"/>
    <pivotField showAll="0"/>
    <pivotField showAll="0"/>
    <pivotField dataField="1" showAll="0"/>
  </pivotFields>
  <rowFields count="2">
    <field x="4"/>
    <field x="0"/>
  </rowFields>
  <rowItems count="3">
    <i>
      <x/>
    </i>
    <i>
      <x v="1"/>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Gender">
  <location ref="D10:E13" firstHeaderRow="1" firstDataRow="1" firstDataCol="1"/>
  <pivotFields count="10">
    <pivotField axis="axisRow"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dataField="1" showAll="0"/>
  </pivotFields>
  <rowFields count="1">
    <field x="0"/>
  </rowFields>
  <rowItems count="3">
    <i>
      <x/>
    </i>
    <i>
      <x v="1"/>
    </i>
    <i t="grand">
      <x/>
    </i>
  </rowItems>
  <colItems count="1">
    <i/>
  </colItems>
  <dataFields count="1">
    <dataField name="Sum of Total" fld="9" baseField="0" baseItem="0"/>
  </dataFields>
  <chartFormats count="4">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branch">
  <location ref="G3:H7" firstHeaderRow="1" firstDataRow="1" firstDataCol="1"/>
  <pivotFields count="10">
    <pivotField showAll="0"/>
    <pivotField showAll="0"/>
    <pivotField axis="axisRow" showAll="0">
      <items count="4">
        <item x="0"/>
        <item x="2"/>
        <item x="1"/>
        <item t="default"/>
      </items>
    </pivotField>
    <pivotField showAll="0">
      <items count="4">
        <item x="2"/>
        <item x="1"/>
        <item x="0"/>
        <item t="default"/>
      </items>
    </pivotField>
    <pivotField showAll="0"/>
    <pivotField showAll="0"/>
    <pivotField showAll="0"/>
    <pivotField showAll="0">
      <items count="11">
        <item x="8"/>
        <item x="4"/>
        <item x="5"/>
        <item x="6"/>
        <item x="1"/>
        <item x="2"/>
        <item x="0"/>
        <item x="7"/>
        <item x="9"/>
        <item x="3"/>
        <item t="default"/>
      </items>
    </pivotField>
    <pivotField showAll="0"/>
    <pivotField dataField="1" showAll="0"/>
  </pivotFields>
  <rowFields count="1">
    <field x="2"/>
  </rowFields>
  <rowItems count="4">
    <i>
      <x/>
    </i>
    <i>
      <x v="1"/>
    </i>
    <i>
      <x v="2"/>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ity">
  <location ref="D3:E7" firstHeaderRow="1" firstDataRow="1" firstDataCol="1"/>
  <pivotFields count="10">
    <pivotField showAll="0"/>
    <pivotField showAll="0"/>
    <pivotField showAll="0">
      <items count="4">
        <item x="0"/>
        <item x="2"/>
        <item x="1"/>
        <item t="default"/>
      </items>
    </pivotField>
    <pivotField axis="axisRow" showAll="0">
      <items count="4">
        <item x="2"/>
        <item x="1"/>
        <item x="0"/>
        <item t="default"/>
      </items>
    </pivotField>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Total" fld="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product">
  <location ref="A3:B10" firstHeaderRow="1" firstDataRow="1" firstDataCol="1"/>
  <pivotFields count="10">
    <pivotField showAll="0">
      <items count="3">
        <item x="0"/>
        <item x="1"/>
        <item t="default"/>
      </items>
    </pivotField>
    <pivotField showAll="0"/>
    <pivotField showAll="0"/>
    <pivotField showAll="0">
      <items count="4">
        <item x="2"/>
        <item x="1"/>
        <item x="0"/>
        <item t="default"/>
      </items>
    </pivotField>
    <pivotField showAll="0"/>
    <pivotField axis="axisRow" showAll="0">
      <items count="7">
        <item x="1"/>
        <item x="4"/>
        <item x="3"/>
        <item x="0"/>
        <item x="2"/>
        <item x="5"/>
        <item t="default"/>
      </items>
    </pivotField>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Sum of Total" fld="9"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5"/>
  </pivotTables>
  <data>
    <tabular pivotCacheId="18748367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5"/>
    <pivotTable tabId="3" name="PivotTable10"/>
    <pivotTable tabId="3" name="PivotTable6"/>
    <pivotTable tabId="3" name="PivotTable8"/>
    <pivotTable tabId="3" name="PivotTable9"/>
  </pivotTables>
  <data>
    <tabular pivotCacheId="18748367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3" name="PivotTable5"/>
  </pivotTables>
  <data>
    <tabular pivotCacheId="1874836731">
      <items count="6">
        <i x="1" s="1"/>
        <i x="4" s="1"/>
        <i x="3"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style="SlicerStyleDark1" rowHeight="234950"/>
  <slicer name="City 1" cache="Slicer_City" caption="City" style="SlicerStyleDark1" rowHeight="234950"/>
  <slicer name="Product line 1" cache="Slicer_Product_line" caption="Product line"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workbookViewId="0">
      <selection activeCell="L16" sqref="L16"/>
    </sheetView>
  </sheetViews>
  <sheetFormatPr defaultRowHeight="14.4" x14ac:dyDescent="0.3"/>
  <cols>
    <col min="1" max="1" width="15.33203125" customWidth="1"/>
    <col min="2" max="2" width="19.44140625" customWidth="1"/>
    <col min="3" max="3" width="6.6640625" bestFit="1" customWidth="1"/>
    <col min="4" max="4" width="19.33203125" customWidth="1"/>
    <col min="5" max="5" width="17" customWidth="1"/>
    <col min="6" max="6" width="26.109375" customWidth="1"/>
    <col min="7" max="7" width="14.88671875" customWidth="1"/>
    <col min="8" max="8" width="12.33203125" customWidth="1"/>
    <col min="9" max="9" width="23.21875" customWidth="1"/>
    <col min="12" max="12" width="14.6640625" bestFit="1" customWidth="1"/>
    <col min="13" max="13" width="9.5546875" bestFit="1" customWidth="1"/>
  </cols>
  <sheetData>
    <row r="1" spans="1:13" s="3" customFormat="1" x14ac:dyDescent="0.3">
      <c r="A1" s="2" t="s">
        <v>0</v>
      </c>
      <c r="B1" s="2" t="s">
        <v>1</v>
      </c>
      <c r="C1" s="2" t="s">
        <v>2</v>
      </c>
      <c r="D1" s="2" t="s">
        <v>3</v>
      </c>
      <c r="E1" s="2" t="s">
        <v>4</v>
      </c>
      <c r="F1" s="2" t="s">
        <v>5</v>
      </c>
      <c r="G1" s="2" t="s">
        <v>6</v>
      </c>
      <c r="H1" s="2" t="s">
        <v>7</v>
      </c>
      <c r="I1" s="2" t="s">
        <v>8</v>
      </c>
      <c r="J1" s="2" t="s">
        <v>1025</v>
      </c>
    </row>
    <row r="2" spans="1:13" x14ac:dyDescent="0.3">
      <c r="A2" s="1" t="s">
        <v>9</v>
      </c>
      <c r="B2" s="1" t="s">
        <v>10</v>
      </c>
      <c r="C2" s="1" t="s">
        <v>11</v>
      </c>
      <c r="D2" s="1" t="s">
        <v>12</v>
      </c>
      <c r="E2" s="1" t="s">
        <v>13</v>
      </c>
      <c r="F2" s="1" t="s">
        <v>14</v>
      </c>
      <c r="G2" s="1">
        <v>74.69</v>
      </c>
      <c r="H2" s="1">
        <v>7</v>
      </c>
      <c r="I2" s="1">
        <f>(G2*H2)*5%</f>
        <v>26.141499999999997</v>
      </c>
      <c r="J2">
        <f>(G2*H2)+I2</f>
        <v>548.97149999999988</v>
      </c>
      <c r="L2" s="3"/>
    </row>
    <row r="3" spans="1:13" x14ac:dyDescent="0.3">
      <c r="A3" s="1" t="s">
        <v>9</v>
      </c>
      <c r="B3" s="1" t="s">
        <v>15</v>
      </c>
      <c r="C3" s="1" t="s">
        <v>16</v>
      </c>
      <c r="D3" s="1" t="s">
        <v>17</v>
      </c>
      <c r="E3" s="1" t="s">
        <v>18</v>
      </c>
      <c r="F3" s="1" t="s">
        <v>19</v>
      </c>
      <c r="G3" s="1">
        <v>15.28</v>
      </c>
      <c r="H3" s="1">
        <v>5</v>
      </c>
      <c r="I3" s="1">
        <f t="shared" ref="I3:I66" si="0">(G3*H3)*5%</f>
        <v>3.82</v>
      </c>
      <c r="J3">
        <f t="shared" ref="J3:J66" si="1">(G3*H3)+I3</f>
        <v>80.219999999999985</v>
      </c>
      <c r="L3" s="3"/>
    </row>
    <row r="4" spans="1:13" x14ac:dyDescent="0.3">
      <c r="A4" s="1" t="s">
        <v>9</v>
      </c>
      <c r="B4" s="1" t="s">
        <v>20</v>
      </c>
      <c r="C4" s="1" t="s">
        <v>11</v>
      </c>
      <c r="D4" s="1" t="s">
        <v>12</v>
      </c>
      <c r="E4" s="1" t="s">
        <v>13</v>
      </c>
      <c r="F4" s="1" t="s">
        <v>19</v>
      </c>
      <c r="G4" s="1">
        <v>68.84</v>
      </c>
      <c r="H4" s="1">
        <v>6</v>
      </c>
      <c r="I4" s="1">
        <f t="shared" si="0"/>
        <v>20.652000000000001</v>
      </c>
      <c r="J4">
        <f t="shared" si="1"/>
        <v>433.69200000000001</v>
      </c>
      <c r="L4" s="3"/>
    </row>
    <row r="5" spans="1:13" x14ac:dyDescent="0.3">
      <c r="A5" s="1" t="s">
        <v>9</v>
      </c>
      <c r="B5" s="1" t="s">
        <v>21</v>
      </c>
      <c r="C5" s="1" t="s">
        <v>16</v>
      </c>
      <c r="D5" s="1" t="s">
        <v>17</v>
      </c>
      <c r="E5" s="1" t="s">
        <v>18</v>
      </c>
      <c r="F5" s="1" t="s">
        <v>22</v>
      </c>
      <c r="G5" s="1">
        <v>73.56</v>
      </c>
      <c r="H5" s="1">
        <v>10</v>
      </c>
      <c r="I5" s="1">
        <f t="shared" si="0"/>
        <v>36.78</v>
      </c>
      <c r="J5">
        <f t="shared" si="1"/>
        <v>772.38</v>
      </c>
      <c r="L5" s="3"/>
      <c r="M5" s="7"/>
    </row>
    <row r="6" spans="1:13" x14ac:dyDescent="0.3">
      <c r="A6" s="1" t="s">
        <v>9</v>
      </c>
      <c r="B6" s="1" t="s">
        <v>23</v>
      </c>
      <c r="C6" s="1" t="s">
        <v>11</v>
      </c>
      <c r="D6" s="1" t="s">
        <v>12</v>
      </c>
      <c r="E6" s="1" t="s">
        <v>13</v>
      </c>
      <c r="F6" s="1" t="s">
        <v>14</v>
      </c>
      <c r="G6" s="1">
        <v>36.26</v>
      </c>
      <c r="H6" s="1">
        <v>2</v>
      </c>
      <c r="I6" s="1">
        <f t="shared" si="0"/>
        <v>3.6259999999999999</v>
      </c>
      <c r="J6">
        <f t="shared" si="1"/>
        <v>76.146000000000001</v>
      </c>
    </row>
    <row r="7" spans="1:13" x14ac:dyDescent="0.3">
      <c r="A7" s="1" t="s">
        <v>9</v>
      </c>
      <c r="B7" s="1" t="s">
        <v>24</v>
      </c>
      <c r="C7" s="1" t="s">
        <v>25</v>
      </c>
      <c r="D7" s="1" t="s">
        <v>26</v>
      </c>
      <c r="E7" s="1" t="s">
        <v>13</v>
      </c>
      <c r="F7" s="1" t="s">
        <v>27</v>
      </c>
      <c r="G7" s="1">
        <v>54.84</v>
      </c>
      <c r="H7" s="1">
        <v>3</v>
      </c>
      <c r="I7" s="1">
        <f t="shared" si="0"/>
        <v>8.2260000000000009</v>
      </c>
      <c r="J7">
        <f t="shared" si="1"/>
        <v>172.74600000000001</v>
      </c>
    </row>
    <row r="8" spans="1:13" x14ac:dyDescent="0.3">
      <c r="A8" s="1" t="s">
        <v>9</v>
      </c>
      <c r="B8" s="1" t="s">
        <v>28</v>
      </c>
      <c r="C8" s="1" t="s">
        <v>25</v>
      </c>
      <c r="D8" s="1" t="s">
        <v>26</v>
      </c>
      <c r="E8" s="1" t="s">
        <v>13</v>
      </c>
      <c r="F8" s="1" t="s">
        <v>29</v>
      </c>
      <c r="G8" s="1">
        <v>14.48</v>
      </c>
      <c r="H8" s="1">
        <v>4</v>
      </c>
      <c r="I8" s="1">
        <f t="shared" si="0"/>
        <v>2.8960000000000004</v>
      </c>
      <c r="J8">
        <f t="shared" si="1"/>
        <v>60.816000000000003</v>
      </c>
    </row>
    <row r="9" spans="1:13" x14ac:dyDescent="0.3">
      <c r="A9" s="1" t="s">
        <v>9</v>
      </c>
      <c r="B9" s="1" t="s">
        <v>30</v>
      </c>
      <c r="C9" s="1" t="s">
        <v>11</v>
      </c>
      <c r="D9" s="1" t="s">
        <v>12</v>
      </c>
      <c r="E9" s="1" t="s">
        <v>18</v>
      </c>
      <c r="F9" s="1" t="s">
        <v>19</v>
      </c>
      <c r="G9" s="1">
        <v>46.95</v>
      </c>
      <c r="H9" s="1">
        <v>5</v>
      </c>
      <c r="I9" s="1">
        <f t="shared" si="0"/>
        <v>11.737500000000001</v>
      </c>
      <c r="J9">
        <f t="shared" si="1"/>
        <v>246.48750000000001</v>
      </c>
    </row>
    <row r="10" spans="1:13" x14ac:dyDescent="0.3">
      <c r="A10" s="1" t="s">
        <v>9</v>
      </c>
      <c r="B10" s="1" t="s">
        <v>31</v>
      </c>
      <c r="C10" s="1" t="s">
        <v>11</v>
      </c>
      <c r="D10" s="1" t="s">
        <v>12</v>
      </c>
      <c r="E10" s="1" t="s">
        <v>18</v>
      </c>
      <c r="F10" s="1" t="s">
        <v>14</v>
      </c>
      <c r="G10" s="1">
        <v>71.38</v>
      </c>
      <c r="H10" s="1">
        <v>10</v>
      </c>
      <c r="I10" s="1">
        <f t="shared" si="0"/>
        <v>35.69</v>
      </c>
      <c r="J10">
        <f t="shared" si="1"/>
        <v>749.49</v>
      </c>
    </row>
    <row r="11" spans="1:13" x14ac:dyDescent="0.3">
      <c r="A11" s="1" t="s">
        <v>9</v>
      </c>
      <c r="B11" s="1" t="s">
        <v>32</v>
      </c>
      <c r="C11" s="1" t="s">
        <v>25</v>
      </c>
      <c r="D11" s="1" t="s">
        <v>26</v>
      </c>
      <c r="E11" s="1" t="s">
        <v>13</v>
      </c>
      <c r="F11" s="1" t="s">
        <v>33</v>
      </c>
      <c r="G11" s="1">
        <v>93.72</v>
      </c>
      <c r="H11" s="1">
        <v>6</v>
      </c>
      <c r="I11" s="1">
        <f t="shared" si="0"/>
        <v>28.116</v>
      </c>
      <c r="J11">
        <f t="shared" si="1"/>
        <v>590.43599999999992</v>
      </c>
    </row>
    <row r="12" spans="1:13" x14ac:dyDescent="0.3">
      <c r="A12" s="1" t="s">
        <v>9</v>
      </c>
      <c r="B12" s="1" t="s">
        <v>34</v>
      </c>
      <c r="C12" s="1" t="s">
        <v>11</v>
      </c>
      <c r="D12" s="1" t="s">
        <v>12</v>
      </c>
      <c r="E12" s="1" t="s">
        <v>13</v>
      </c>
      <c r="F12" s="1" t="s">
        <v>14</v>
      </c>
      <c r="G12" s="1">
        <v>68.930000000000007</v>
      </c>
      <c r="H12" s="1">
        <v>7</v>
      </c>
      <c r="I12" s="1">
        <f t="shared" si="0"/>
        <v>24.125500000000002</v>
      </c>
      <c r="J12">
        <f t="shared" si="1"/>
        <v>506.63550000000004</v>
      </c>
    </row>
    <row r="13" spans="1:13" x14ac:dyDescent="0.3">
      <c r="A13" s="1" t="s">
        <v>9</v>
      </c>
      <c r="B13" s="1" t="s">
        <v>35</v>
      </c>
      <c r="C13" s="1" t="s">
        <v>25</v>
      </c>
      <c r="D13" s="1" t="s">
        <v>26</v>
      </c>
      <c r="E13" s="1" t="s">
        <v>18</v>
      </c>
      <c r="F13" s="1" t="s">
        <v>22</v>
      </c>
      <c r="G13" s="1">
        <v>40.299999999999997</v>
      </c>
      <c r="H13" s="1">
        <v>2</v>
      </c>
      <c r="I13" s="1">
        <f t="shared" si="0"/>
        <v>4.03</v>
      </c>
      <c r="J13">
        <f t="shared" si="1"/>
        <v>84.63</v>
      </c>
    </row>
    <row r="14" spans="1:13" x14ac:dyDescent="0.3">
      <c r="A14" s="1" t="s">
        <v>9</v>
      </c>
      <c r="B14" s="1" t="s">
        <v>36</v>
      </c>
      <c r="C14" s="1" t="s">
        <v>11</v>
      </c>
      <c r="D14" s="1" t="s">
        <v>12</v>
      </c>
      <c r="E14" s="1" t="s">
        <v>13</v>
      </c>
      <c r="F14" s="1" t="s">
        <v>22</v>
      </c>
      <c r="G14" s="1">
        <v>52.59</v>
      </c>
      <c r="H14" s="1">
        <v>8</v>
      </c>
      <c r="I14" s="1">
        <f t="shared" si="0"/>
        <v>21.036000000000001</v>
      </c>
      <c r="J14">
        <f t="shared" si="1"/>
        <v>441.75600000000003</v>
      </c>
    </row>
    <row r="15" spans="1:13" x14ac:dyDescent="0.3">
      <c r="A15" s="1" t="s">
        <v>9</v>
      </c>
      <c r="B15" s="1" t="s">
        <v>37</v>
      </c>
      <c r="C15" s="1" t="s">
        <v>11</v>
      </c>
      <c r="D15" s="1" t="s">
        <v>12</v>
      </c>
      <c r="E15" s="1" t="s">
        <v>18</v>
      </c>
      <c r="F15" s="1" t="s">
        <v>29</v>
      </c>
      <c r="G15" s="1">
        <v>87.67</v>
      </c>
      <c r="H15" s="1">
        <v>2</v>
      </c>
      <c r="I15" s="1">
        <f t="shared" si="0"/>
        <v>8.7670000000000012</v>
      </c>
      <c r="J15">
        <f t="shared" si="1"/>
        <v>184.107</v>
      </c>
    </row>
    <row r="16" spans="1:13" x14ac:dyDescent="0.3">
      <c r="A16" s="1" t="s">
        <v>9</v>
      </c>
      <c r="B16" s="1" t="s">
        <v>38</v>
      </c>
      <c r="C16" s="1" t="s">
        <v>25</v>
      </c>
      <c r="D16" s="1" t="s">
        <v>26</v>
      </c>
      <c r="E16" s="1" t="s">
        <v>18</v>
      </c>
      <c r="F16" s="1" t="s">
        <v>27</v>
      </c>
      <c r="G16" s="1">
        <v>88.36</v>
      </c>
      <c r="H16" s="1">
        <v>5</v>
      </c>
      <c r="I16" s="1">
        <f t="shared" si="0"/>
        <v>22.090000000000003</v>
      </c>
      <c r="J16">
        <f t="shared" si="1"/>
        <v>463.89</v>
      </c>
    </row>
    <row r="17" spans="1:10" x14ac:dyDescent="0.3">
      <c r="A17" s="1" t="s">
        <v>9</v>
      </c>
      <c r="B17" s="1" t="s">
        <v>39</v>
      </c>
      <c r="C17" s="1" t="s">
        <v>16</v>
      </c>
      <c r="D17" s="1" t="s">
        <v>17</v>
      </c>
      <c r="E17" s="1" t="s">
        <v>13</v>
      </c>
      <c r="F17" s="1" t="s">
        <v>27</v>
      </c>
      <c r="G17" s="1">
        <v>99.42</v>
      </c>
      <c r="H17" s="1">
        <v>4</v>
      </c>
      <c r="I17" s="1">
        <f t="shared" si="0"/>
        <v>19.884</v>
      </c>
      <c r="J17">
        <f t="shared" si="1"/>
        <v>417.56400000000002</v>
      </c>
    </row>
    <row r="18" spans="1:10" x14ac:dyDescent="0.3">
      <c r="A18" s="1" t="s">
        <v>9</v>
      </c>
      <c r="B18" s="1" t="s">
        <v>40</v>
      </c>
      <c r="C18" s="1" t="s">
        <v>16</v>
      </c>
      <c r="D18" s="1" t="s">
        <v>17</v>
      </c>
      <c r="E18" s="1" t="s">
        <v>13</v>
      </c>
      <c r="F18" s="1" t="s">
        <v>33</v>
      </c>
      <c r="G18" s="1">
        <v>68.12</v>
      </c>
      <c r="H18" s="1">
        <v>1</v>
      </c>
      <c r="I18" s="1">
        <f t="shared" si="0"/>
        <v>3.4060000000000006</v>
      </c>
      <c r="J18">
        <f t="shared" si="1"/>
        <v>71.52600000000001</v>
      </c>
    </row>
    <row r="19" spans="1:10" x14ac:dyDescent="0.3">
      <c r="A19" s="1" t="s">
        <v>9</v>
      </c>
      <c r="B19" s="1" t="s">
        <v>41</v>
      </c>
      <c r="C19" s="1" t="s">
        <v>11</v>
      </c>
      <c r="D19" s="1" t="s">
        <v>12</v>
      </c>
      <c r="E19" s="1" t="s">
        <v>18</v>
      </c>
      <c r="F19" s="1" t="s">
        <v>19</v>
      </c>
      <c r="G19" s="1">
        <v>60.88</v>
      </c>
      <c r="H19" s="1">
        <v>9</v>
      </c>
      <c r="I19" s="1">
        <f t="shared" si="0"/>
        <v>27.396000000000004</v>
      </c>
      <c r="J19">
        <f t="shared" si="1"/>
        <v>575.31600000000003</v>
      </c>
    </row>
    <row r="20" spans="1:10" x14ac:dyDescent="0.3">
      <c r="A20" s="1" t="s">
        <v>9</v>
      </c>
      <c r="B20" s="1" t="s">
        <v>42</v>
      </c>
      <c r="C20" s="1" t="s">
        <v>16</v>
      </c>
      <c r="D20" s="1" t="s">
        <v>17</v>
      </c>
      <c r="E20" s="1" t="s">
        <v>18</v>
      </c>
      <c r="F20" s="1" t="s">
        <v>14</v>
      </c>
      <c r="G20" s="1">
        <v>54.92</v>
      </c>
      <c r="H20" s="1">
        <v>8</v>
      </c>
      <c r="I20" s="1">
        <f t="shared" si="0"/>
        <v>21.968000000000004</v>
      </c>
      <c r="J20">
        <f t="shared" si="1"/>
        <v>461.32800000000003</v>
      </c>
    </row>
    <row r="21" spans="1:10" x14ac:dyDescent="0.3">
      <c r="A21" s="1" t="s">
        <v>9</v>
      </c>
      <c r="B21" s="1" t="s">
        <v>43</v>
      </c>
      <c r="C21" s="1" t="s">
        <v>25</v>
      </c>
      <c r="D21" s="1" t="s">
        <v>26</v>
      </c>
      <c r="E21" s="1" t="s">
        <v>13</v>
      </c>
      <c r="F21" s="1" t="s">
        <v>22</v>
      </c>
      <c r="G21" s="1">
        <v>86.72</v>
      </c>
      <c r="H21" s="1">
        <v>1</v>
      </c>
      <c r="I21" s="1">
        <f t="shared" si="0"/>
        <v>4.3360000000000003</v>
      </c>
      <c r="J21">
        <f t="shared" si="1"/>
        <v>91.055999999999997</v>
      </c>
    </row>
    <row r="22" spans="1:10" x14ac:dyDescent="0.3">
      <c r="A22" s="1" t="s">
        <v>9</v>
      </c>
      <c r="B22" s="1" t="s">
        <v>44</v>
      </c>
      <c r="C22" s="1" t="s">
        <v>25</v>
      </c>
      <c r="D22" s="1" t="s">
        <v>26</v>
      </c>
      <c r="E22" s="1" t="s">
        <v>13</v>
      </c>
      <c r="F22" s="1" t="s">
        <v>33</v>
      </c>
      <c r="G22" s="1">
        <v>69.12</v>
      </c>
      <c r="H22" s="1">
        <v>6</v>
      </c>
      <c r="I22" s="1">
        <f t="shared" si="0"/>
        <v>20.736000000000004</v>
      </c>
      <c r="J22">
        <f t="shared" si="1"/>
        <v>435.45600000000002</v>
      </c>
    </row>
    <row r="23" spans="1:10" x14ac:dyDescent="0.3">
      <c r="A23" s="1" t="s">
        <v>9</v>
      </c>
      <c r="B23" s="1" t="s">
        <v>45</v>
      </c>
      <c r="C23" s="1" t="s">
        <v>16</v>
      </c>
      <c r="D23" s="1" t="s">
        <v>17</v>
      </c>
      <c r="E23" s="1" t="s">
        <v>13</v>
      </c>
      <c r="F23" s="1" t="s">
        <v>27</v>
      </c>
      <c r="G23" s="1">
        <v>98.7</v>
      </c>
      <c r="H23" s="1">
        <v>8</v>
      </c>
      <c r="I23" s="1">
        <f t="shared" si="0"/>
        <v>39.480000000000004</v>
      </c>
      <c r="J23">
        <f t="shared" si="1"/>
        <v>829.08</v>
      </c>
    </row>
    <row r="24" spans="1:10" x14ac:dyDescent="0.3">
      <c r="A24" s="1" t="s">
        <v>9</v>
      </c>
      <c r="B24" s="1" t="s">
        <v>46</v>
      </c>
      <c r="C24" s="1" t="s">
        <v>25</v>
      </c>
      <c r="D24" s="1" t="s">
        <v>26</v>
      </c>
      <c r="E24" s="1" t="s">
        <v>13</v>
      </c>
      <c r="F24" s="1" t="s">
        <v>19</v>
      </c>
      <c r="G24" s="1">
        <v>93.96</v>
      </c>
      <c r="H24" s="1">
        <v>4</v>
      </c>
      <c r="I24" s="1">
        <f t="shared" si="0"/>
        <v>18.791999999999998</v>
      </c>
      <c r="J24">
        <f t="shared" si="1"/>
        <v>394.63199999999995</v>
      </c>
    </row>
    <row r="25" spans="1:10" x14ac:dyDescent="0.3">
      <c r="A25" s="1" t="s">
        <v>9</v>
      </c>
      <c r="B25" s="1" t="s">
        <v>47</v>
      </c>
      <c r="C25" s="1" t="s">
        <v>25</v>
      </c>
      <c r="D25" s="1" t="s">
        <v>26</v>
      </c>
      <c r="E25" s="1" t="s">
        <v>13</v>
      </c>
      <c r="F25" s="1" t="s">
        <v>27</v>
      </c>
      <c r="G25" s="1">
        <v>20.010000000000002</v>
      </c>
      <c r="H25" s="1">
        <v>9</v>
      </c>
      <c r="I25" s="1">
        <f t="shared" si="0"/>
        <v>9.0045000000000002</v>
      </c>
      <c r="J25">
        <f t="shared" si="1"/>
        <v>189.09450000000001</v>
      </c>
    </row>
    <row r="26" spans="1:10" x14ac:dyDescent="0.3">
      <c r="A26" s="1" t="s">
        <v>9</v>
      </c>
      <c r="B26" s="1" t="s">
        <v>48</v>
      </c>
      <c r="C26" s="1" t="s">
        <v>16</v>
      </c>
      <c r="D26" s="1" t="s">
        <v>17</v>
      </c>
      <c r="E26" s="1" t="s">
        <v>13</v>
      </c>
      <c r="F26" s="1" t="s">
        <v>29</v>
      </c>
      <c r="G26" s="1">
        <v>82.63</v>
      </c>
      <c r="H26" s="1">
        <v>10</v>
      </c>
      <c r="I26" s="1">
        <f t="shared" si="0"/>
        <v>41.314999999999998</v>
      </c>
      <c r="J26">
        <f t="shared" si="1"/>
        <v>867.61500000000001</v>
      </c>
    </row>
    <row r="27" spans="1:10" x14ac:dyDescent="0.3">
      <c r="A27" s="1" t="s">
        <v>9</v>
      </c>
      <c r="B27" s="1" t="s">
        <v>49</v>
      </c>
      <c r="C27" s="1" t="s">
        <v>11</v>
      </c>
      <c r="D27" s="1" t="s">
        <v>12</v>
      </c>
      <c r="E27" s="1" t="s">
        <v>13</v>
      </c>
      <c r="F27" s="1" t="s">
        <v>27</v>
      </c>
      <c r="G27" s="1">
        <v>44.59</v>
      </c>
      <c r="H27" s="1">
        <v>5</v>
      </c>
      <c r="I27" s="1">
        <f t="shared" si="0"/>
        <v>11.147500000000001</v>
      </c>
      <c r="J27">
        <f t="shared" si="1"/>
        <v>234.09750000000003</v>
      </c>
    </row>
    <row r="28" spans="1:10" x14ac:dyDescent="0.3">
      <c r="A28" s="1" t="s">
        <v>9</v>
      </c>
      <c r="B28" s="1" t="s">
        <v>50</v>
      </c>
      <c r="C28" s="1" t="s">
        <v>25</v>
      </c>
      <c r="D28" s="1" t="s">
        <v>26</v>
      </c>
      <c r="E28" s="1" t="s">
        <v>13</v>
      </c>
      <c r="F28" s="1" t="s">
        <v>29</v>
      </c>
      <c r="G28" s="1">
        <v>17.87</v>
      </c>
      <c r="H28" s="1">
        <v>4</v>
      </c>
      <c r="I28" s="1">
        <f t="shared" si="0"/>
        <v>3.5740000000000003</v>
      </c>
      <c r="J28">
        <f t="shared" si="1"/>
        <v>75.054000000000002</v>
      </c>
    </row>
    <row r="29" spans="1:10" x14ac:dyDescent="0.3">
      <c r="A29" s="1" t="s">
        <v>9</v>
      </c>
      <c r="B29" s="1" t="s">
        <v>51</v>
      </c>
      <c r="C29" s="1" t="s">
        <v>16</v>
      </c>
      <c r="D29" s="1" t="s">
        <v>17</v>
      </c>
      <c r="E29" s="1" t="s">
        <v>18</v>
      </c>
      <c r="F29" s="1" t="s">
        <v>19</v>
      </c>
      <c r="G29" s="1">
        <v>85.98</v>
      </c>
      <c r="H29" s="1">
        <v>8</v>
      </c>
      <c r="I29" s="1">
        <f t="shared" si="0"/>
        <v>34.392000000000003</v>
      </c>
      <c r="J29">
        <f t="shared" si="1"/>
        <v>722.23200000000008</v>
      </c>
    </row>
    <row r="30" spans="1:10" x14ac:dyDescent="0.3">
      <c r="A30" s="1" t="s">
        <v>9</v>
      </c>
      <c r="B30" s="1" t="s">
        <v>52</v>
      </c>
      <c r="C30" s="1" t="s">
        <v>11</v>
      </c>
      <c r="D30" s="1" t="s">
        <v>12</v>
      </c>
      <c r="E30" s="1" t="s">
        <v>13</v>
      </c>
      <c r="F30" s="1" t="s">
        <v>22</v>
      </c>
      <c r="G30" s="1">
        <v>72.349999999999994</v>
      </c>
      <c r="H30" s="1">
        <v>10</v>
      </c>
      <c r="I30" s="1">
        <f t="shared" si="0"/>
        <v>36.175000000000004</v>
      </c>
      <c r="J30">
        <f t="shared" si="1"/>
        <v>759.67499999999995</v>
      </c>
    </row>
    <row r="31" spans="1:10" x14ac:dyDescent="0.3">
      <c r="A31" s="1" t="s">
        <v>9</v>
      </c>
      <c r="B31" s="1" t="s">
        <v>53</v>
      </c>
      <c r="C31" s="1" t="s">
        <v>16</v>
      </c>
      <c r="D31" s="1" t="s">
        <v>17</v>
      </c>
      <c r="E31" s="1" t="s">
        <v>13</v>
      </c>
      <c r="F31" s="1" t="s">
        <v>33</v>
      </c>
      <c r="G31" s="1">
        <v>24.74</v>
      </c>
      <c r="H31" s="1">
        <v>3</v>
      </c>
      <c r="I31" s="1">
        <f t="shared" si="0"/>
        <v>3.7110000000000003</v>
      </c>
      <c r="J31">
        <f t="shared" si="1"/>
        <v>77.930999999999997</v>
      </c>
    </row>
    <row r="32" spans="1:10" x14ac:dyDescent="0.3">
      <c r="A32" s="1" t="s">
        <v>9</v>
      </c>
      <c r="B32" s="1" t="s">
        <v>54</v>
      </c>
      <c r="C32" s="1" t="s">
        <v>25</v>
      </c>
      <c r="D32" s="1" t="s">
        <v>26</v>
      </c>
      <c r="E32" s="1" t="s">
        <v>13</v>
      </c>
      <c r="F32" s="1" t="s">
        <v>33</v>
      </c>
      <c r="G32" s="1">
        <v>55.07</v>
      </c>
      <c r="H32" s="1">
        <v>9</v>
      </c>
      <c r="I32" s="1">
        <f t="shared" si="0"/>
        <v>24.781500000000001</v>
      </c>
      <c r="J32">
        <f t="shared" si="1"/>
        <v>520.41150000000005</v>
      </c>
    </row>
    <row r="33" spans="1:10" x14ac:dyDescent="0.3">
      <c r="A33" s="1" t="s">
        <v>9</v>
      </c>
      <c r="B33" s="1" t="s">
        <v>55</v>
      </c>
      <c r="C33" s="1" t="s">
        <v>16</v>
      </c>
      <c r="D33" s="1" t="s">
        <v>17</v>
      </c>
      <c r="E33" s="1" t="s">
        <v>18</v>
      </c>
      <c r="F33" s="1" t="s">
        <v>14</v>
      </c>
      <c r="G33" s="1">
        <v>33.47</v>
      </c>
      <c r="H33" s="1">
        <v>2</v>
      </c>
      <c r="I33" s="1">
        <f t="shared" si="0"/>
        <v>3.347</v>
      </c>
      <c r="J33">
        <f t="shared" si="1"/>
        <v>70.286999999999992</v>
      </c>
    </row>
    <row r="34" spans="1:10" x14ac:dyDescent="0.3">
      <c r="A34" s="1" t="s">
        <v>9</v>
      </c>
      <c r="B34" s="1" t="s">
        <v>56</v>
      </c>
      <c r="C34" s="1" t="s">
        <v>25</v>
      </c>
      <c r="D34" s="1" t="s">
        <v>26</v>
      </c>
      <c r="E34" s="1" t="s">
        <v>13</v>
      </c>
      <c r="F34" s="1" t="s">
        <v>29</v>
      </c>
      <c r="G34" s="1">
        <v>97.61</v>
      </c>
      <c r="H34" s="1">
        <v>6</v>
      </c>
      <c r="I34" s="1">
        <f t="shared" si="0"/>
        <v>29.283000000000001</v>
      </c>
      <c r="J34">
        <f t="shared" si="1"/>
        <v>614.94299999999998</v>
      </c>
    </row>
    <row r="35" spans="1:10" x14ac:dyDescent="0.3">
      <c r="A35" s="1" t="s">
        <v>9</v>
      </c>
      <c r="B35" s="1" t="s">
        <v>57</v>
      </c>
      <c r="C35" s="1" t="s">
        <v>11</v>
      </c>
      <c r="D35" s="1" t="s">
        <v>12</v>
      </c>
      <c r="E35" s="1" t="s">
        <v>13</v>
      </c>
      <c r="F35" s="1" t="s">
        <v>14</v>
      </c>
      <c r="G35" s="1">
        <v>18.329999999999998</v>
      </c>
      <c r="H35" s="1">
        <v>1</v>
      </c>
      <c r="I35" s="1">
        <f t="shared" si="0"/>
        <v>0.91649999999999998</v>
      </c>
      <c r="J35">
        <f t="shared" si="1"/>
        <v>19.246499999999997</v>
      </c>
    </row>
    <row r="36" spans="1:10" x14ac:dyDescent="0.3">
      <c r="A36" s="1" t="s">
        <v>9</v>
      </c>
      <c r="B36" s="1" t="s">
        <v>58</v>
      </c>
      <c r="C36" s="1" t="s">
        <v>25</v>
      </c>
      <c r="D36" s="1" t="s">
        <v>26</v>
      </c>
      <c r="E36" s="1" t="s">
        <v>13</v>
      </c>
      <c r="F36" s="1" t="s">
        <v>27</v>
      </c>
      <c r="G36" s="1">
        <v>48.52</v>
      </c>
      <c r="H36" s="1">
        <v>3</v>
      </c>
      <c r="I36" s="1">
        <f t="shared" si="0"/>
        <v>7.2780000000000005</v>
      </c>
      <c r="J36">
        <f t="shared" si="1"/>
        <v>152.83799999999999</v>
      </c>
    </row>
    <row r="37" spans="1:10" x14ac:dyDescent="0.3">
      <c r="A37" s="1" t="s">
        <v>9</v>
      </c>
      <c r="B37" s="1" t="s">
        <v>59</v>
      </c>
      <c r="C37" s="1" t="s">
        <v>16</v>
      </c>
      <c r="D37" s="1" t="s">
        <v>17</v>
      </c>
      <c r="E37" s="1" t="s">
        <v>18</v>
      </c>
      <c r="F37" s="1" t="s">
        <v>19</v>
      </c>
      <c r="G37" s="1">
        <v>75.91</v>
      </c>
      <c r="H37" s="1">
        <v>6</v>
      </c>
      <c r="I37" s="1">
        <f t="shared" si="0"/>
        <v>22.773</v>
      </c>
      <c r="J37">
        <f t="shared" si="1"/>
        <v>478.233</v>
      </c>
    </row>
    <row r="38" spans="1:10" x14ac:dyDescent="0.3">
      <c r="A38" s="1" t="s">
        <v>9</v>
      </c>
      <c r="B38" s="1" t="s">
        <v>60</v>
      </c>
      <c r="C38" s="1" t="s">
        <v>16</v>
      </c>
      <c r="D38" s="1" t="s">
        <v>17</v>
      </c>
      <c r="E38" s="1" t="s">
        <v>18</v>
      </c>
      <c r="F38" s="1" t="s">
        <v>19</v>
      </c>
      <c r="G38" s="1">
        <v>41.65</v>
      </c>
      <c r="H38" s="1">
        <v>10</v>
      </c>
      <c r="I38" s="1">
        <f t="shared" si="0"/>
        <v>20.825000000000003</v>
      </c>
      <c r="J38">
        <f t="shared" si="1"/>
        <v>437.32499999999999</v>
      </c>
    </row>
    <row r="39" spans="1:10" x14ac:dyDescent="0.3">
      <c r="A39" s="1" t="s">
        <v>9</v>
      </c>
      <c r="B39" s="1" t="s">
        <v>61</v>
      </c>
      <c r="C39" s="1" t="s">
        <v>11</v>
      </c>
      <c r="D39" s="1" t="s">
        <v>12</v>
      </c>
      <c r="E39" s="1" t="s">
        <v>13</v>
      </c>
      <c r="F39" s="1" t="s">
        <v>29</v>
      </c>
      <c r="G39" s="1">
        <v>20.010000000000002</v>
      </c>
      <c r="H39" s="1">
        <v>9</v>
      </c>
      <c r="I39" s="1">
        <f t="shared" si="0"/>
        <v>9.0045000000000002</v>
      </c>
      <c r="J39">
        <f t="shared" si="1"/>
        <v>189.09450000000001</v>
      </c>
    </row>
    <row r="40" spans="1:10" x14ac:dyDescent="0.3">
      <c r="A40" s="1" t="s">
        <v>9</v>
      </c>
      <c r="B40" s="1" t="s">
        <v>62</v>
      </c>
      <c r="C40" s="1" t="s">
        <v>16</v>
      </c>
      <c r="D40" s="1" t="s">
        <v>17</v>
      </c>
      <c r="E40" s="1" t="s">
        <v>13</v>
      </c>
      <c r="F40" s="1" t="s">
        <v>27</v>
      </c>
      <c r="G40" s="1">
        <v>78.31</v>
      </c>
      <c r="H40" s="1">
        <v>10</v>
      </c>
      <c r="I40" s="1">
        <f t="shared" si="0"/>
        <v>39.155000000000001</v>
      </c>
      <c r="J40">
        <f t="shared" si="1"/>
        <v>822.255</v>
      </c>
    </row>
    <row r="41" spans="1:10" x14ac:dyDescent="0.3">
      <c r="A41" s="1" t="s">
        <v>9</v>
      </c>
      <c r="B41" s="1" t="s">
        <v>63</v>
      </c>
      <c r="C41" s="1" t="s">
        <v>16</v>
      </c>
      <c r="D41" s="1" t="s">
        <v>17</v>
      </c>
      <c r="E41" s="1" t="s">
        <v>18</v>
      </c>
      <c r="F41" s="1" t="s">
        <v>14</v>
      </c>
      <c r="G41" s="1">
        <v>20.38</v>
      </c>
      <c r="H41" s="1">
        <v>5</v>
      </c>
      <c r="I41" s="1">
        <f t="shared" si="0"/>
        <v>5.0949999999999998</v>
      </c>
      <c r="J41">
        <f t="shared" si="1"/>
        <v>106.99499999999999</v>
      </c>
    </row>
    <row r="42" spans="1:10" x14ac:dyDescent="0.3">
      <c r="A42" s="1" t="s">
        <v>9</v>
      </c>
      <c r="B42" s="1" t="s">
        <v>64</v>
      </c>
      <c r="C42" s="1" t="s">
        <v>16</v>
      </c>
      <c r="D42" s="1" t="s">
        <v>17</v>
      </c>
      <c r="E42" s="1" t="s">
        <v>18</v>
      </c>
      <c r="F42" s="1" t="s">
        <v>14</v>
      </c>
      <c r="G42" s="1">
        <v>99.19</v>
      </c>
      <c r="H42" s="1">
        <v>6</v>
      </c>
      <c r="I42" s="1">
        <f t="shared" si="0"/>
        <v>29.757000000000001</v>
      </c>
      <c r="J42">
        <f t="shared" si="1"/>
        <v>624.89699999999993</v>
      </c>
    </row>
    <row r="43" spans="1:10" x14ac:dyDescent="0.3">
      <c r="A43" s="1" t="s">
        <v>9</v>
      </c>
      <c r="B43" s="1" t="s">
        <v>65</v>
      </c>
      <c r="C43" s="1" t="s">
        <v>25</v>
      </c>
      <c r="D43" s="1" t="s">
        <v>26</v>
      </c>
      <c r="E43" s="1" t="s">
        <v>18</v>
      </c>
      <c r="F43" s="1" t="s">
        <v>27</v>
      </c>
      <c r="G43" s="1">
        <v>96.68</v>
      </c>
      <c r="H43" s="1">
        <v>3</v>
      </c>
      <c r="I43" s="1">
        <f t="shared" si="0"/>
        <v>14.502000000000002</v>
      </c>
      <c r="J43">
        <f t="shared" si="1"/>
        <v>304.54200000000003</v>
      </c>
    </row>
    <row r="44" spans="1:10" x14ac:dyDescent="0.3">
      <c r="A44" s="1" t="s">
        <v>9</v>
      </c>
      <c r="B44" s="1" t="s">
        <v>66</v>
      </c>
      <c r="C44" s="1" t="s">
        <v>16</v>
      </c>
      <c r="D44" s="1" t="s">
        <v>17</v>
      </c>
      <c r="E44" s="1" t="s">
        <v>13</v>
      </c>
      <c r="F44" s="1" t="s">
        <v>27</v>
      </c>
      <c r="G44" s="1">
        <v>80.36</v>
      </c>
      <c r="H44" s="1">
        <v>4</v>
      </c>
      <c r="I44" s="1">
        <f t="shared" si="0"/>
        <v>16.071999999999999</v>
      </c>
      <c r="J44">
        <f t="shared" si="1"/>
        <v>337.512</v>
      </c>
    </row>
    <row r="45" spans="1:10" x14ac:dyDescent="0.3">
      <c r="A45" s="1" t="s">
        <v>9</v>
      </c>
      <c r="B45" s="1" t="s">
        <v>67</v>
      </c>
      <c r="C45" s="1" t="s">
        <v>16</v>
      </c>
      <c r="D45" s="1" t="s">
        <v>17</v>
      </c>
      <c r="E45" s="1" t="s">
        <v>18</v>
      </c>
      <c r="F45" s="1" t="s">
        <v>33</v>
      </c>
      <c r="G45" s="1">
        <v>83.06</v>
      </c>
      <c r="H45" s="1">
        <v>7</v>
      </c>
      <c r="I45" s="1">
        <f t="shared" si="0"/>
        <v>29.071000000000005</v>
      </c>
      <c r="J45">
        <f t="shared" si="1"/>
        <v>610.4910000000001</v>
      </c>
    </row>
    <row r="46" spans="1:10" x14ac:dyDescent="0.3">
      <c r="A46" s="1" t="s">
        <v>9</v>
      </c>
      <c r="B46" s="1" t="s">
        <v>68</v>
      </c>
      <c r="C46" s="1" t="s">
        <v>25</v>
      </c>
      <c r="D46" s="1" t="s">
        <v>26</v>
      </c>
      <c r="E46" s="1" t="s">
        <v>18</v>
      </c>
      <c r="F46" s="1" t="s">
        <v>14</v>
      </c>
      <c r="G46" s="1">
        <v>76.989999999999995</v>
      </c>
      <c r="H46" s="1">
        <v>6</v>
      </c>
      <c r="I46" s="1">
        <f t="shared" si="0"/>
        <v>23.096999999999998</v>
      </c>
      <c r="J46">
        <f t="shared" si="1"/>
        <v>485.03699999999992</v>
      </c>
    </row>
    <row r="47" spans="1:10" x14ac:dyDescent="0.3">
      <c r="A47" s="1" t="s">
        <v>9</v>
      </c>
      <c r="B47" s="1" t="s">
        <v>69</v>
      </c>
      <c r="C47" s="1" t="s">
        <v>16</v>
      </c>
      <c r="D47" s="1" t="s">
        <v>17</v>
      </c>
      <c r="E47" s="1" t="s">
        <v>13</v>
      </c>
      <c r="F47" s="1" t="s">
        <v>22</v>
      </c>
      <c r="G47" s="1">
        <v>47.38</v>
      </c>
      <c r="H47" s="1">
        <v>4</v>
      </c>
      <c r="I47" s="1">
        <f t="shared" si="0"/>
        <v>9.4760000000000009</v>
      </c>
      <c r="J47">
        <f t="shared" si="1"/>
        <v>198.99600000000001</v>
      </c>
    </row>
    <row r="48" spans="1:10" x14ac:dyDescent="0.3">
      <c r="A48" s="1" t="s">
        <v>9</v>
      </c>
      <c r="B48" s="1" t="s">
        <v>70</v>
      </c>
      <c r="C48" s="1" t="s">
        <v>16</v>
      </c>
      <c r="D48" s="1" t="s">
        <v>17</v>
      </c>
      <c r="E48" s="1" t="s">
        <v>18</v>
      </c>
      <c r="F48" s="1" t="s">
        <v>33</v>
      </c>
      <c r="G48" s="1">
        <v>44.86</v>
      </c>
      <c r="H48" s="1">
        <v>10</v>
      </c>
      <c r="I48" s="1">
        <f t="shared" si="0"/>
        <v>22.430000000000003</v>
      </c>
      <c r="J48">
        <f t="shared" si="1"/>
        <v>471.03000000000003</v>
      </c>
    </row>
    <row r="49" spans="1:10" x14ac:dyDescent="0.3">
      <c r="A49" s="1" t="s">
        <v>9</v>
      </c>
      <c r="B49" s="1" t="s">
        <v>71</v>
      </c>
      <c r="C49" s="1" t="s">
        <v>11</v>
      </c>
      <c r="D49" s="1" t="s">
        <v>12</v>
      </c>
      <c r="E49" s="1" t="s">
        <v>13</v>
      </c>
      <c r="F49" s="1" t="s">
        <v>33</v>
      </c>
      <c r="G49" s="1">
        <v>21.98</v>
      </c>
      <c r="H49" s="1">
        <v>7</v>
      </c>
      <c r="I49" s="1">
        <f t="shared" si="0"/>
        <v>7.6930000000000014</v>
      </c>
      <c r="J49">
        <f t="shared" si="1"/>
        <v>161.55300000000003</v>
      </c>
    </row>
    <row r="50" spans="1:10" x14ac:dyDescent="0.3">
      <c r="A50" s="1" t="s">
        <v>9</v>
      </c>
      <c r="B50" s="1" t="s">
        <v>72</v>
      </c>
      <c r="C50" s="1" t="s">
        <v>16</v>
      </c>
      <c r="D50" s="1" t="s">
        <v>17</v>
      </c>
      <c r="E50" s="1" t="s">
        <v>18</v>
      </c>
      <c r="F50" s="1" t="s">
        <v>19</v>
      </c>
      <c r="G50" s="1">
        <v>12.45</v>
      </c>
      <c r="H50" s="1">
        <v>6</v>
      </c>
      <c r="I50" s="1">
        <f t="shared" si="0"/>
        <v>3.7349999999999994</v>
      </c>
      <c r="J50">
        <f t="shared" si="1"/>
        <v>78.434999999999988</v>
      </c>
    </row>
    <row r="51" spans="1:10" x14ac:dyDescent="0.3">
      <c r="A51" s="1" t="s">
        <v>9</v>
      </c>
      <c r="B51" s="1" t="s">
        <v>73</v>
      </c>
      <c r="C51" s="1" t="s">
        <v>16</v>
      </c>
      <c r="D51" s="1" t="s">
        <v>17</v>
      </c>
      <c r="E51" s="1" t="s">
        <v>18</v>
      </c>
      <c r="F51" s="1" t="s">
        <v>19</v>
      </c>
      <c r="G51" s="1">
        <v>23.07</v>
      </c>
      <c r="H51" s="1">
        <v>9</v>
      </c>
      <c r="I51" s="1">
        <f t="shared" si="0"/>
        <v>10.381500000000001</v>
      </c>
      <c r="J51">
        <f t="shared" si="1"/>
        <v>218.01149999999998</v>
      </c>
    </row>
    <row r="52" spans="1:10" x14ac:dyDescent="0.3">
      <c r="A52" s="1" t="s">
        <v>9</v>
      </c>
      <c r="B52" s="1" t="s">
        <v>74</v>
      </c>
      <c r="C52" s="1" t="s">
        <v>16</v>
      </c>
      <c r="D52" s="1" t="s">
        <v>17</v>
      </c>
      <c r="E52" s="1" t="s">
        <v>18</v>
      </c>
      <c r="F52" s="1" t="s">
        <v>27</v>
      </c>
      <c r="G52" s="1">
        <v>33.979999999999997</v>
      </c>
      <c r="H52" s="1">
        <v>9</v>
      </c>
      <c r="I52" s="1">
        <f t="shared" si="0"/>
        <v>15.291</v>
      </c>
      <c r="J52">
        <f t="shared" si="1"/>
        <v>321.11099999999999</v>
      </c>
    </row>
    <row r="53" spans="1:10" x14ac:dyDescent="0.3">
      <c r="A53" s="1" t="s">
        <v>9</v>
      </c>
      <c r="B53" s="1" t="s">
        <v>75</v>
      </c>
      <c r="C53" s="1" t="s">
        <v>25</v>
      </c>
      <c r="D53" s="1" t="s">
        <v>26</v>
      </c>
      <c r="E53" s="1" t="s">
        <v>13</v>
      </c>
      <c r="F53" s="1" t="s">
        <v>33</v>
      </c>
      <c r="G53" s="1">
        <v>16.489999999999998</v>
      </c>
      <c r="H53" s="1">
        <v>2</v>
      </c>
      <c r="I53" s="1">
        <f t="shared" si="0"/>
        <v>1.649</v>
      </c>
      <c r="J53">
        <f t="shared" si="1"/>
        <v>34.628999999999998</v>
      </c>
    </row>
    <row r="54" spans="1:10" x14ac:dyDescent="0.3">
      <c r="A54" s="1" t="s">
        <v>9</v>
      </c>
      <c r="B54" s="1" t="s">
        <v>76</v>
      </c>
      <c r="C54" s="1" t="s">
        <v>16</v>
      </c>
      <c r="D54" s="1" t="s">
        <v>17</v>
      </c>
      <c r="E54" s="1" t="s">
        <v>13</v>
      </c>
      <c r="F54" s="1" t="s">
        <v>14</v>
      </c>
      <c r="G54" s="1">
        <v>98.21</v>
      </c>
      <c r="H54" s="1">
        <v>3</v>
      </c>
      <c r="I54" s="1">
        <f t="shared" si="0"/>
        <v>14.7315</v>
      </c>
      <c r="J54">
        <f t="shared" si="1"/>
        <v>309.36149999999998</v>
      </c>
    </row>
    <row r="55" spans="1:10" x14ac:dyDescent="0.3">
      <c r="A55" s="1" t="s">
        <v>9</v>
      </c>
      <c r="B55" s="1" t="s">
        <v>77</v>
      </c>
      <c r="C55" s="1" t="s">
        <v>25</v>
      </c>
      <c r="D55" s="1" t="s">
        <v>26</v>
      </c>
      <c r="E55" s="1" t="s">
        <v>18</v>
      </c>
      <c r="F55" s="1" t="s">
        <v>29</v>
      </c>
      <c r="G55" s="1">
        <v>72.84</v>
      </c>
      <c r="H55" s="1">
        <v>7</v>
      </c>
      <c r="I55" s="1">
        <f t="shared" si="0"/>
        <v>25.494</v>
      </c>
      <c r="J55">
        <f t="shared" si="1"/>
        <v>535.37400000000002</v>
      </c>
    </row>
    <row r="56" spans="1:10" x14ac:dyDescent="0.3">
      <c r="A56" s="1" t="s">
        <v>9</v>
      </c>
      <c r="B56" s="1" t="s">
        <v>78</v>
      </c>
      <c r="C56" s="1" t="s">
        <v>16</v>
      </c>
      <c r="D56" s="1" t="s">
        <v>17</v>
      </c>
      <c r="E56" s="1" t="s">
        <v>13</v>
      </c>
      <c r="F56" s="1" t="s">
        <v>22</v>
      </c>
      <c r="G56" s="1">
        <v>80.790000000000006</v>
      </c>
      <c r="H56" s="1">
        <v>9</v>
      </c>
      <c r="I56" s="1">
        <f t="shared" si="0"/>
        <v>36.355499999999999</v>
      </c>
      <c r="J56">
        <f t="shared" si="1"/>
        <v>763.46550000000002</v>
      </c>
    </row>
    <row r="57" spans="1:10" x14ac:dyDescent="0.3">
      <c r="A57" s="1" t="s">
        <v>9</v>
      </c>
      <c r="B57" s="1" t="s">
        <v>79</v>
      </c>
      <c r="C57" s="1" t="s">
        <v>16</v>
      </c>
      <c r="D57" s="1" t="s">
        <v>17</v>
      </c>
      <c r="E57" s="1" t="s">
        <v>18</v>
      </c>
      <c r="F57" s="1" t="s">
        <v>29</v>
      </c>
      <c r="G57" s="1">
        <v>27.02</v>
      </c>
      <c r="H57" s="1">
        <v>3</v>
      </c>
      <c r="I57" s="1">
        <f t="shared" si="0"/>
        <v>4.0529999999999999</v>
      </c>
      <c r="J57">
        <f t="shared" si="1"/>
        <v>85.113</v>
      </c>
    </row>
    <row r="58" spans="1:10" x14ac:dyDescent="0.3">
      <c r="A58" s="1" t="s">
        <v>9</v>
      </c>
      <c r="B58" s="1" t="s">
        <v>80</v>
      </c>
      <c r="C58" s="1" t="s">
        <v>11</v>
      </c>
      <c r="D58" s="1" t="s">
        <v>12</v>
      </c>
      <c r="E58" s="1" t="s">
        <v>18</v>
      </c>
      <c r="F58" s="1" t="s">
        <v>27</v>
      </c>
      <c r="G58" s="1">
        <v>10.96</v>
      </c>
      <c r="H58" s="1">
        <v>10</v>
      </c>
      <c r="I58" s="1">
        <f>(G58*H58)*5%</f>
        <v>5.48</v>
      </c>
      <c r="J58">
        <f t="shared" si="1"/>
        <v>115.08000000000001</v>
      </c>
    </row>
    <row r="59" spans="1:10" x14ac:dyDescent="0.3">
      <c r="A59" s="1" t="s">
        <v>9</v>
      </c>
      <c r="B59" s="1" t="s">
        <v>81</v>
      </c>
      <c r="C59" s="1" t="s">
        <v>11</v>
      </c>
      <c r="D59" s="1" t="s">
        <v>12</v>
      </c>
      <c r="E59" s="1" t="s">
        <v>18</v>
      </c>
      <c r="F59" s="1" t="s">
        <v>19</v>
      </c>
      <c r="G59" s="1">
        <v>99.56</v>
      </c>
      <c r="H59" s="1">
        <v>8</v>
      </c>
      <c r="I59" s="1">
        <f t="shared" si="0"/>
        <v>39.824000000000005</v>
      </c>
      <c r="J59">
        <f t="shared" si="1"/>
        <v>836.30399999999997</v>
      </c>
    </row>
    <row r="60" spans="1:10" x14ac:dyDescent="0.3">
      <c r="A60" s="1" t="s">
        <v>9</v>
      </c>
      <c r="B60" s="1" t="s">
        <v>82</v>
      </c>
      <c r="C60" s="1" t="s">
        <v>25</v>
      </c>
      <c r="D60" s="1" t="s">
        <v>26</v>
      </c>
      <c r="E60" s="1" t="s">
        <v>13</v>
      </c>
      <c r="F60" s="1" t="s">
        <v>29</v>
      </c>
      <c r="G60" s="1">
        <v>56.47</v>
      </c>
      <c r="H60" s="1">
        <v>8</v>
      </c>
      <c r="I60" s="1">
        <f t="shared" si="0"/>
        <v>22.588000000000001</v>
      </c>
      <c r="J60">
        <f t="shared" si="1"/>
        <v>474.34800000000001</v>
      </c>
    </row>
    <row r="61" spans="1:10" x14ac:dyDescent="0.3">
      <c r="A61" s="1" t="s">
        <v>9</v>
      </c>
      <c r="B61" s="1" t="s">
        <v>83</v>
      </c>
      <c r="C61" s="1" t="s">
        <v>11</v>
      </c>
      <c r="D61" s="1" t="s">
        <v>12</v>
      </c>
      <c r="E61" s="1" t="s">
        <v>18</v>
      </c>
      <c r="F61" s="1" t="s">
        <v>22</v>
      </c>
      <c r="G61" s="1">
        <v>93.69</v>
      </c>
      <c r="H61" s="1">
        <v>7</v>
      </c>
      <c r="I61" s="1">
        <f t="shared" si="0"/>
        <v>32.791499999999999</v>
      </c>
      <c r="J61">
        <f t="shared" si="1"/>
        <v>688.62149999999997</v>
      </c>
    </row>
    <row r="62" spans="1:10" x14ac:dyDescent="0.3">
      <c r="A62" s="1" t="s">
        <v>9</v>
      </c>
      <c r="B62" s="1" t="s">
        <v>84</v>
      </c>
      <c r="C62" s="1" t="s">
        <v>11</v>
      </c>
      <c r="D62" s="1" t="s">
        <v>12</v>
      </c>
      <c r="E62" s="1" t="s">
        <v>18</v>
      </c>
      <c r="F62" s="1" t="s">
        <v>33</v>
      </c>
      <c r="G62" s="1">
        <v>32.25</v>
      </c>
      <c r="H62" s="1">
        <v>5</v>
      </c>
      <c r="I62" s="1">
        <f t="shared" si="0"/>
        <v>8.0625</v>
      </c>
      <c r="J62">
        <f t="shared" si="1"/>
        <v>169.3125</v>
      </c>
    </row>
    <row r="63" spans="1:10" x14ac:dyDescent="0.3">
      <c r="A63" s="1" t="s">
        <v>9</v>
      </c>
      <c r="B63" s="1" t="s">
        <v>85</v>
      </c>
      <c r="C63" s="1" t="s">
        <v>16</v>
      </c>
      <c r="D63" s="1" t="s">
        <v>17</v>
      </c>
      <c r="E63" s="1" t="s">
        <v>18</v>
      </c>
      <c r="F63" s="1" t="s">
        <v>29</v>
      </c>
      <c r="G63" s="1">
        <v>31.73</v>
      </c>
      <c r="H63" s="1">
        <v>9</v>
      </c>
      <c r="I63" s="1">
        <f t="shared" si="0"/>
        <v>14.278500000000001</v>
      </c>
      <c r="J63">
        <f t="shared" si="1"/>
        <v>299.8485</v>
      </c>
    </row>
    <row r="64" spans="1:10" x14ac:dyDescent="0.3">
      <c r="A64" s="1" t="s">
        <v>9</v>
      </c>
      <c r="B64" s="1" t="s">
        <v>86</v>
      </c>
      <c r="C64" s="1" t="s">
        <v>16</v>
      </c>
      <c r="D64" s="1" t="s">
        <v>17</v>
      </c>
      <c r="E64" s="1" t="s">
        <v>13</v>
      </c>
      <c r="F64" s="1" t="s">
        <v>27</v>
      </c>
      <c r="G64" s="1">
        <v>68.540000000000006</v>
      </c>
      <c r="H64" s="1">
        <v>8</v>
      </c>
      <c r="I64" s="1">
        <f t="shared" si="0"/>
        <v>27.416000000000004</v>
      </c>
      <c r="J64">
        <f t="shared" si="1"/>
        <v>575.7360000000001</v>
      </c>
    </row>
    <row r="65" spans="1:10" x14ac:dyDescent="0.3">
      <c r="A65" s="1" t="s">
        <v>9</v>
      </c>
      <c r="B65" s="1" t="s">
        <v>87</v>
      </c>
      <c r="C65" s="1" t="s">
        <v>25</v>
      </c>
      <c r="D65" s="1" t="s">
        <v>26</v>
      </c>
      <c r="E65" s="1" t="s">
        <v>18</v>
      </c>
      <c r="F65" s="1" t="s">
        <v>33</v>
      </c>
      <c r="G65" s="1">
        <v>90.28</v>
      </c>
      <c r="H65" s="1">
        <v>9</v>
      </c>
      <c r="I65" s="1">
        <f t="shared" si="0"/>
        <v>40.626000000000005</v>
      </c>
      <c r="J65">
        <f t="shared" si="1"/>
        <v>853.14599999999996</v>
      </c>
    </row>
    <row r="66" spans="1:10" x14ac:dyDescent="0.3">
      <c r="A66" s="1" t="s">
        <v>9</v>
      </c>
      <c r="B66" s="1" t="s">
        <v>88</v>
      </c>
      <c r="C66" s="1" t="s">
        <v>25</v>
      </c>
      <c r="D66" s="1" t="s">
        <v>26</v>
      </c>
      <c r="E66" s="1" t="s">
        <v>18</v>
      </c>
      <c r="F66" s="1" t="s">
        <v>29</v>
      </c>
      <c r="G66" s="1">
        <v>39.619999999999997</v>
      </c>
      <c r="H66" s="1">
        <v>7</v>
      </c>
      <c r="I66" s="1">
        <f t="shared" si="0"/>
        <v>13.866999999999999</v>
      </c>
      <c r="J66">
        <f t="shared" si="1"/>
        <v>291.20699999999999</v>
      </c>
    </row>
    <row r="67" spans="1:10" x14ac:dyDescent="0.3">
      <c r="A67" s="1" t="s">
        <v>9</v>
      </c>
      <c r="B67" s="1" t="s">
        <v>89</v>
      </c>
      <c r="C67" s="1" t="s">
        <v>11</v>
      </c>
      <c r="D67" s="1" t="s">
        <v>12</v>
      </c>
      <c r="E67" s="1" t="s">
        <v>13</v>
      </c>
      <c r="F67" s="1" t="s">
        <v>33</v>
      </c>
      <c r="G67" s="1">
        <v>92.13</v>
      </c>
      <c r="H67" s="1">
        <v>6</v>
      </c>
      <c r="I67" s="1">
        <f t="shared" ref="I67:I87" si="2">(G67*H67)*5%</f>
        <v>27.638999999999999</v>
      </c>
      <c r="J67">
        <f t="shared" ref="J67:J130" si="3">(G67*H67)+I67</f>
        <v>580.41899999999998</v>
      </c>
    </row>
    <row r="68" spans="1:10" x14ac:dyDescent="0.3">
      <c r="A68" s="1" t="s">
        <v>9</v>
      </c>
      <c r="B68" s="1" t="s">
        <v>90</v>
      </c>
      <c r="C68" s="1" t="s">
        <v>25</v>
      </c>
      <c r="D68" s="1" t="s">
        <v>26</v>
      </c>
      <c r="E68" s="1" t="s">
        <v>18</v>
      </c>
      <c r="F68" s="1" t="s">
        <v>33</v>
      </c>
      <c r="G68" s="1">
        <v>34.840000000000003</v>
      </c>
      <c r="H68" s="1">
        <v>4</v>
      </c>
      <c r="I68" s="1">
        <f t="shared" si="2"/>
        <v>6.9680000000000009</v>
      </c>
      <c r="J68">
        <f t="shared" si="3"/>
        <v>146.328</v>
      </c>
    </row>
    <row r="69" spans="1:10" x14ac:dyDescent="0.3">
      <c r="A69" s="1" t="s">
        <v>9</v>
      </c>
      <c r="B69" s="1" t="s">
        <v>91</v>
      </c>
      <c r="C69" s="1" t="s">
        <v>16</v>
      </c>
      <c r="D69" s="1" t="s">
        <v>17</v>
      </c>
      <c r="E69" s="1" t="s">
        <v>18</v>
      </c>
      <c r="F69" s="1" t="s">
        <v>14</v>
      </c>
      <c r="G69" s="1">
        <v>81.3</v>
      </c>
      <c r="H69" s="1">
        <v>6</v>
      </c>
      <c r="I69" s="1">
        <f t="shared" si="2"/>
        <v>24.39</v>
      </c>
      <c r="J69">
        <f t="shared" si="3"/>
        <v>512.18999999999994</v>
      </c>
    </row>
    <row r="70" spans="1:10" x14ac:dyDescent="0.3">
      <c r="A70" s="1" t="s">
        <v>9</v>
      </c>
      <c r="B70" s="1" t="s">
        <v>92</v>
      </c>
      <c r="C70" s="1" t="s">
        <v>11</v>
      </c>
      <c r="D70" s="1" t="s">
        <v>12</v>
      </c>
      <c r="E70" s="1" t="s">
        <v>18</v>
      </c>
      <c r="F70" s="1" t="s">
        <v>19</v>
      </c>
      <c r="G70" s="1">
        <v>26.31</v>
      </c>
      <c r="H70" s="1">
        <v>5</v>
      </c>
      <c r="I70" s="1">
        <f t="shared" si="2"/>
        <v>6.5774999999999997</v>
      </c>
      <c r="J70">
        <f t="shared" si="3"/>
        <v>138.12749999999997</v>
      </c>
    </row>
    <row r="71" spans="1:10" x14ac:dyDescent="0.3">
      <c r="A71" s="1" t="s">
        <v>9</v>
      </c>
      <c r="B71" s="1" t="s">
        <v>93</v>
      </c>
      <c r="C71" s="1" t="s">
        <v>11</v>
      </c>
      <c r="D71" s="1" t="s">
        <v>12</v>
      </c>
      <c r="E71" s="1" t="s">
        <v>13</v>
      </c>
      <c r="F71" s="1" t="s">
        <v>22</v>
      </c>
      <c r="G71" s="1">
        <v>34.42</v>
      </c>
      <c r="H71" s="1">
        <v>6</v>
      </c>
      <c r="I71" s="1">
        <f t="shared" si="2"/>
        <v>10.326000000000001</v>
      </c>
      <c r="J71">
        <f t="shared" si="3"/>
        <v>216.846</v>
      </c>
    </row>
    <row r="72" spans="1:10" x14ac:dyDescent="0.3">
      <c r="A72" s="1" t="s">
        <v>9</v>
      </c>
      <c r="B72" s="1" t="s">
        <v>94</v>
      </c>
      <c r="C72" s="1" t="s">
        <v>16</v>
      </c>
      <c r="D72" s="1" t="s">
        <v>17</v>
      </c>
      <c r="E72" s="1" t="s">
        <v>13</v>
      </c>
      <c r="F72" s="1" t="s">
        <v>33</v>
      </c>
      <c r="G72" s="1">
        <v>89.8</v>
      </c>
      <c r="H72" s="1">
        <v>10</v>
      </c>
      <c r="I72" s="1">
        <f t="shared" si="2"/>
        <v>44.900000000000006</v>
      </c>
      <c r="J72">
        <f t="shared" si="3"/>
        <v>942.9</v>
      </c>
    </row>
    <row r="73" spans="1:10" x14ac:dyDescent="0.3">
      <c r="A73" s="1" t="s">
        <v>9</v>
      </c>
      <c r="B73" s="1" t="s">
        <v>95</v>
      </c>
      <c r="C73" s="1" t="s">
        <v>16</v>
      </c>
      <c r="D73" s="1" t="s">
        <v>17</v>
      </c>
      <c r="E73" s="1" t="s">
        <v>13</v>
      </c>
      <c r="F73" s="1" t="s">
        <v>14</v>
      </c>
      <c r="G73" s="1">
        <v>68.599999999999994</v>
      </c>
      <c r="H73" s="1">
        <v>10</v>
      </c>
      <c r="I73" s="1">
        <f t="shared" si="2"/>
        <v>34.300000000000004</v>
      </c>
      <c r="J73">
        <f t="shared" si="3"/>
        <v>720.3</v>
      </c>
    </row>
    <row r="74" spans="1:10" x14ac:dyDescent="0.3">
      <c r="A74" s="1" t="s">
        <v>9</v>
      </c>
      <c r="B74" s="1" t="s">
        <v>96</v>
      </c>
      <c r="C74" s="1" t="s">
        <v>16</v>
      </c>
      <c r="D74" s="1" t="s">
        <v>17</v>
      </c>
      <c r="E74" s="1" t="s">
        <v>13</v>
      </c>
      <c r="F74" s="1" t="s">
        <v>27</v>
      </c>
      <c r="G74" s="1">
        <v>30.41</v>
      </c>
      <c r="H74" s="1">
        <v>1</v>
      </c>
      <c r="I74" s="1">
        <f t="shared" si="2"/>
        <v>1.5205000000000002</v>
      </c>
      <c r="J74">
        <f t="shared" si="3"/>
        <v>31.930500000000002</v>
      </c>
    </row>
    <row r="75" spans="1:10" x14ac:dyDescent="0.3">
      <c r="A75" s="1" t="s">
        <v>9</v>
      </c>
      <c r="B75" s="1" t="s">
        <v>97</v>
      </c>
      <c r="C75" s="1" t="s">
        <v>11</v>
      </c>
      <c r="D75" s="1" t="s">
        <v>12</v>
      </c>
      <c r="E75" s="1" t="s">
        <v>18</v>
      </c>
      <c r="F75" s="1" t="s">
        <v>22</v>
      </c>
      <c r="G75" s="1">
        <v>77.95</v>
      </c>
      <c r="H75" s="1">
        <v>6</v>
      </c>
      <c r="I75" s="1">
        <f t="shared" si="2"/>
        <v>23.385000000000005</v>
      </c>
      <c r="J75">
        <f t="shared" si="3"/>
        <v>491.08500000000004</v>
      </c>
    </row>
    <row r="76" spans="1:10" x14ac:dyDescent="0.3">
      <c r="A76" s="1" t="s">
        <v>9</v>
      </c>
      <c r="B76" s="1" t="s">
        <v>98</v>
      </c>
      <c r="C76" s="1" t="s">
        <v>16</v>
      </c>
      <c r="D76" s="1" t="s">
        <v>17</v>
      </c>
      <c r="E76" s="1" t="s">
        <v>18</v>
      </c>
      <c r="F76" s="1" t="s">
        <v>14</v>
      </c>
      <c r="G76" s="1">
        <v>46.26</v>
      </c>
      <c r="H76" s="1">
        <v>6</v>
      </c>
      <c r="I76" s="1">
        <f t="shared" si="2"/>
        <v>13.878</v>
      </c>
      <c r="J76">
        <f t="shared" si="3"/>
        <v>291.43799999999999</v>
      </c>
    </row>
    <row r="77" spans="1:10" x14ac:dyDescent="0.3">
      <c r="A77" s="1" t="s">
        <v>9</v>
      </c>
      <c r="B77" s="1" t="s">
        <v>99</v>
      </c>
      <c r="C77" s="1" t="s">
        <v>11</v>
      </c>
      <c r="D77" s="1" t="s">
        <v>12</v>
      </c>
      <c r="E77" s="1" t="s">
        <v>13</v>
      </c>
      <c r="F77" s="1" t="s">
        <v>29</v>
      </c>
      <c r="G77" s="1">
        <v>30.14</v>
      </c>
      <c r="H77" s="1">
        <v>10</v>
      </c>
      <c r="I77" s="1">
        <f t="shared" si="2"/>
        <v>15.07</v>
      </c>
      <c r="J77">
        <f t="shared" si="3"/>
        <v>316.46999999999997</v>
      </c>
    </row>
    <row r="78" spans="1:10" x14ac:dyDescent="0.3">
      <c r="A78" s="1" t="s">
        <v>9</v>
      </c>
      <c r="B78" s="1" t="s">
        <v>100</v>
      </c>
      <c r="C78" s="1" t="s">
        <v>25</v>
      </c>
      <c r="D78" s="1" t="s">
        <v>26</v>
      </c>
      <c r="E78" s="1" t="s">
        <v>13</v>
      </c>
      <c r="F78" s="1" t="s">
        <v>29</v>
      </c>
      <c r="G78" s="1">
        <v>91.54</v>
      </c>
      <c r="H78" s="1">
        <v>4</v>
      </c>
      <c r="I78" s="1">
        <f t="shared" si="2"/>
        <v>18.308000000000003</v>
      </c>
      <c r="J78">
        <f t="shared" si="3"/>
        <v>384.46800000000002</v>
      </c>
    </row>
    <row r="79" spans="1:10" x14ac:dyDescent="0.3">
      <c r="A79" s="1" t="s">
        <v>9</v>
      </c>
      <c r="B79" s="1" t="s">
        <v>101</v>
      </c>
      <c r="C79" s="1" t="s">
        <v>16</v>
      </c>
      <c r="D79" s="1" t="s">
        <v>17</v>
      </c>
      <c r="E79" s="1" t="s">
        <v>18</v>
      </c>
      <c r="F79" s="1" t="s">
        <v>27</v>
      </c>
      <c r="G79" s="1">
        <v>16.48</v>
      </c>
      <c r="H79" s="1">
        <v>6</v>
      </c>
      <c r="I79" s="1">
        <f t="shared" si="2"/>
        <v>4.944</v>
      </c>
      <c r="J79">
        <f t="shared" si="3"/>
        <v>103.824</v>
      </c>
    </row>
    <row r="80" spans="1:10" x14ac:dyDescent="0.3">
      <c r="A80" s="1" t="s">
        <v>9</v>
      </c>
      <c r="B80" s="1" t="s">
        <v>102</v>
      </c>
      <c r="C80" s="1" t="s">
        <v>16</v>
      </c>
      <c r="D80" s="1" t="s">
        <v>17</v>
      </c>
      <c r="E80" s="1" t="s">
        <v>18</v>
      </c>
      <c r="F80" s="1" t="s">
        <v>33</v>
      </c>
      <c r="G80" s="1">
        <v>80.97</v>
      </c>
      <c r="H80" s="1">
        <v>8</v>
      </c>
      <c r="I80" s="1">
        <f t="shared" si="2"/>
        <v>32.387999999999998</v>
      </c>
      <c r="J80">
        <f t="shared" si="3"/>
        <v>680.14800000000002</v>
      </c>
    </row>
    <row r="81" spans="1:10" x14ac:dyDescent="0.3">
      <c r="A81" s="1" t="s">
        <v>9</v>
      </c>
      <c r="B81" s="1" t="s">
        <v>103</v>
      </c>
      <c r="C81" s="1" t="s">
        <v>16</v>
      </c>
      <c r="D81" s="1" t="s">
        <v>17</v>
      </c>
      <c r="E81" s="1" t="s">
        <v>18</v>
      </c>
      <c r="F81" s="1" t="s">
        <v>27</v>
      </c>
      <c r="G81" s="1">
        <v>43.18</v>
      </c>
      <c r="H81" s="1">
        <v>8</v>
      </c>
      <c r="I81" s="1">
        <f t="shared" si="2"/>
        <v>17.272000000000002</v>
      </c>
      <c r="J81">
        <f t="shared" si="3"/>
        <v>362.71199999999999</v>
      </c>
    </row>
    <row r="82" spans="1:10" x14ac:dyDescent="0.3">
      <c r="A82" s="1" t="s">
        <v>9</v>
      </c>
      <c r="B82" s="1" t="s">
        <v>104</v>
      </c>
      <c r="C82" s="1" t="s">
        <v>16</v>
      </c>
      <c r="D82" s="1" t="s">
        <v>17</v>
      </c>
      <c r="E82" s="1" t="s">
        <v>18</v>
      </c>
      <c r="F82" s="1" t="s">
        <v>29</v>
      </c>
      <c r="G82" s="1">
        <v>22.51</v>
      </c>
      <c r="H82" s="1">
        <v>7</v>
      </c>
      <c r="I82" s="1">
        <f t="shared" si="2"/>
        <v>7.8785000000000016</v>
      </c>
      <c r="J82">
        <f t="shared" si="3"/>
        <v>165.44850000000002</v>
      </c>
    </row>
    <row r="83" spans="1:10" x14ac:dyDescent="0.3">
      <c r="A83" s="1" t="s">
        <v>9</v>
      </c>
      <c r="B83" s="1" t="s">
        <v>105</v>
      </c>
      <c r="C83" s="1" t="s">
        <v>11</v>
      </c>
      <c r="D83" s="1" t="s">
        <v>12</v>
      </c>
      <c r="E83" s="1" t="s">
        <v>18</v>
      </c>
      <c r="F83" s="1" t="s">
        <v>33</v>
      </c>
      <c r="G83" s="1">
        <v>12.34</v>
      </c>
      <c r="H83" s="1">
        <v>7</v>
      </c>
      <c r="I83" s="1">
        <f t="shared" si="2"/>
        <v>4.319</v>
      </c>
      <c r="J83">
        <f t="shared" si="3"/>
        <v>90.698999999999998</v>
      </c>
    </row>
    <row r="84" spans="1:10" x14ac:dyDescent="0.3">
      <c r="A84" s="1" t="s">
        <v>9</v>
      </c>
      <c r="B84" s="1" t="s">
        <v>106</v>
      </c>
      <c r="C84" s="1" t="s">
        <v>25</v>
      </c>
      <c r="D84" s="1" t="s">
        <v>26</v>
      </c>
      <c r="E84" s="1" t="s">
        <v>13</v>
      </c>
      <c r="F84" s="1" t="s">
        <v>22</v>
      </c>
      <c r="G84" s="1">
        <v>94.49</v>
      </c>
      <c r="H84" s="1">
        <v>8</v>
      </c>
      <c r="I84" s="1">
        <f t="shared" si="2"/>
        <v>37.795999999999999</v>
      </c>
      <c r="J84">
        <f t="shared" si="3"/>
        <v>793.71600000000001</v>
      </c>
    </row>
    <row r="85" spans="1:10" x14ac:dyDescent="0.3">
      <c r="A85" s="1" t="s">
        <v>9</v>
      </c>
      <c r="B85" s="1" t="s">
        <v>107</v>
      </c>
      <c r="C85" s="1" t="s">
        <v>16</v>
      </c>
      <c r="D85" s="1" t="s">
        <v>17</v>
      </c>
      <c r="E85" s="1" t="s">
        <v>18</v>
      </c>
      <c r="F85" s="1" t="s">
        <v>22</v>
      </c>
      <c r="G85" s="1">
        <v>69.81</v>
      </c>
      <c r="H85" s="1">
        <v>4</v>
      </c>
      <c r="I85" s="1">
        <f t="shared" si="2"/>
        <v>13.962000000000002</v>
      </c>
      <c r="J85">
        <f t="shared" si="3"/>
        <v>293.202</v>
      </c>
    </row>
    <row r="86" spans="1:10" x14ac:dyDescent="0.3">
      <c r="A86" s="1" t="s">
        <v>9</v>
      </c>
      <c r="B86" s="1" t="s">
        <v>108</v>
      </c>
      <c r="C86" s="1" t="s">
        <v>25</v>
      </c>
      <c r="D86" s="1" t="s">
        <v>26</v>
      </c>
      <c r="E86" s="1" t="s">
        <v>18</v>
      </c>
      <c r="F86" s="1" t="s">
        <v>22</v>
      </c>
      <c r="G86" s="1">
        <v>77.040000000000006</v>
      </c>
      <c r="H86" s="1">
        <v>3</v>
      </c>
      <c r="I86" s="1">
        <f t="shared" si="2"/>
        <v>11.556000000000001</v>
      </c>
      <c r="J86">
        <f t="shared" si="3"/>
        <v>242.67600000000002</v>
      </c>
    </row>
    <row r="87" spans="1:10" x14ac:dyDescent="0.3">
      <c r="A87" s="1" t="s">
        <v>9</v>
      </c>
      <c r="B87" s="1" t="s">
        <v>109</v>
      </c>
      <c r="C87" s="1" t="s">
        <v>25</v>
      </c>
      <c r="D87" s="1" t="s">
        <v>26</v>
      </c>
      <c r="E87" s="1" t="s">
        <v>18</v>
      </c>
      <c r="F87" s="1" t="s">
        <v>29</v>
      </c>
      <c r="G87" s="1">
        <v>73.52</v>
      </c>
      <c r="H87" s="1">
        <v>2</v>
      </c>
      <c r="I87" s="1">
        <f t="shared" si="2"/>
        <v>7.3520000000000003</v>
      </c>
      <c r="J87">
        <f t="shared" si="3"/>
        <v>154.392</v>
      </c>
    </row>
    <row r="88" spans="1:10" x14ac:dyDescent="0.3">
      <c r="A88" s="1" t="s">
        <v>9</v>
      </c>
      <c r="B88" s="1" t="s">
        <v>110</v>
      </c>
      <c r="C88" s="1" t="s">
        <v>16</v>
      </c>
      <c r="D88" s="1" t="s">
        <v>17</v>
      </c>
      <c r="E88" s="1" t="s">
        <v>18</v>
      </c>
      <c r="F88" s="1" t="s">
        <v>27</v>
      </c>
      <c r="G88" s="1">
        <v>87.8</v>
      </c>
      <c r="H88" s="1">
        <v>9</v>
      </c>
      <c r="I88" s="1">
        <f>(G88*H88)*5%</f>
        <v>39.51</v>
      </c>
      <c r="J88">
        <f t="shared" si="3"/>
        <v>829.70999999999992</v>
      </c>
    </row>
    <row r="89" spans="1:10" x14ac:dyDescent="0.3">
      <c r="A89" s="1" t="s">
        <v>9</v>
      </c>
      <c r="B89" s="1" t="s">
        <v>111</v>
      </c>
      <c r="C89" s="1" t="s">
        <v>16</v>
      </c>
      <c r="D89" s="1" t="s">
        <v>17</v>
      </c>
      <c r="E89" s="1" t="s">
        <v>13</v>
      </c>
      <c r="F89" s="1" t="s">
        <v>29</v>
      </c>
      <c r="G89" s="1">
        <v>74.290000000000006</v>
      </c>
      <c r="H89" s="1">
        <v>1</v>
      </c>
      <c r="I89" s="1">
        <f t="shared" ref="I89:I152" si="4">(G89*H89)*5%</f>
        <v>3.7145000000000006</v>
      </c>
      <c r="J89">
        <f t="shared" si="3"/>
        <v>78.004500000000007</v>
      </c>
    </row>
    <row r="90" spans="1:10" x14ac:dyDescent="0.3">
      <c r="A90" s="1" t="s">
        <v>9</v>
      </c>
      <c r="B90" s="1" t="s">
        <v>112</v>
      </c>
      <c r="C90" s="1" t="s">
        <v>11</v>
      </c>
      <c r="D90" s="1" t="s">
        <v>12</v>
      </c>
      <c r="E90" s="1" t="s">
        <v>18</v>
      </c>
      <c r="F90" s="1" t="s">
        <v>22</v>
      </c>
      <c r="G90" s="1">
        <v>25.29</v>
      </c>
      <c r="H90" s="1">
        <v>1</v>
      </c>
      <c r="I90" s="1">
        <f t="shared" si="4"/>
        <v>1.2645</v>
      </c>
      <c r="J90">
        <f t="shared" si="3"/>
        <v>26.554499999999997</v>
      </c>
    </row>
    <row r="91" spans="1:10" x14ac:dyDescent="0.3">
      <c r="A91" s="1" t="s">
        <v>9</v>
      </c>
      <c r="B91" s="1" t="s">
        <v>113</v>
      </c>
      <c r="C91" s="1" t="s">
        <v>16</v>
      </c>
      <c r="D91" s="1" t="s">
        <v>17</v>
      </c>
      <c r="E91" s="1" t="s">
        <v>13</v>
      </c>
      <c r="F91" s="1" t="s">
        <v>27</v>
      </c>
      <c r="G91" s="1">
        <v>71.39</v>
      </c>
      <c r="H91" s="1">
        <v>5</v>
      </c>
      <c r="I91" s="1">
        <f t="shared" si="4"/>
        <v>17.8475</v>
      </c>
      <c r="J91">
        <f t="shared" si="3"/>
        <v>374.79750000000001</v>
      </c>
    </row>
    <row r="92" spans="1:10" x14ac:dyDescent="0.3">
      <c r="A92" s="1" t="s">
        <v>9</v>
      </c>
      <c r="B92" s="1" t="s">
        <v>114</v>
      </c>
      <c r="C92" s="1" t="s">
        <v>16</v>
      </c>
      <c r="D92" s="1" t="s">
        <v>17</v>
      </c>
      <c r="E92" s="1" t="s">
        <v>13</v>
      </c>
      <c r="F92" s="1" t="s">
        <v>33</v>
      </c>
      <c r="G92" s="1">
        <v>19.149999999999999</v>
      </c>
      <c r="H92" s="1">
        <v>6</v>
      </c>
      <c r="I92" s="1">
        <f t="shared" si="4"/>
        <v>5.7450000000000001</v>
      </c>
      <c r="J92">
        <f t="shared" si="3"/>
        <v>120.645</v>
      </c>
    </row>
    <row r="93" spans="1:10" x14ac:dyDescent="0.3">
      <c r="A93" s="1" t="s">
        <v>9</v>
      </c>
      <c r="B93" s="1" t="s">
        <v>115</v>
      </c>
      <c r="C93" s="1" t="s">
        <v>25</v>
      </c>
      <c r="D93" s="1" t="s">
        <v>26</v>
      </c>
      <c r="E93" s="1" t="s">
        <v>13</v>
      </c>
      <c r="F93" s="1" t="s">
        <v>19</v>
      </c>
      <c r="G93" s="1">
        <v>57.49</v>
      </c>
      <c r="H93" s="1">
        <v>4</v>
      </c>
      <c r="I93" s="1">
        <f t="shared" si="4"/>
        <v>11.498000000000001</v>
      </c>
      <c r="J93">
        <f t="shared" si="3"/>
        <v>241.458</v>
      </c>
    </row>
    <row r="94" spans="1:10" x14ac:dyDescent="0.3">
      <c r="A94" s="1" t="s">
        <v>9</v>
      </c>
      <c r="B94" s="1" t="s">
        <v>116</v>
      </c>
      <c r="C94" s="1" t="s">
        <v>11</v>
      </c>
      <c r="D94" s="1" t="s">
        <v>12</v>
      </c>
      <c r="E94" s="1" t="s">
        <v>18</v>
      </c>
      <c r="F94" s="1" t="s">
        <v>14</v>
      </c>
      <c r="G94" s="1">
        <v>23.03</v>
      </c>
      <c r="H94" s="1">
        <v>9</v>
      </c>
      <c r="I94" s="1">
        <f t="shared" si="4"/>
        <v>10.363500000000002</v>
      </c>
      <c r="J94">
        <f t="shared" si="3"/>
        <v>217.63350000000003</v>
      </c>
    </row>
    <row r="95" spans="1:10" x14ac:dyDescent="0.3">
      <c r="A95" s="1" t="s">
        <v>9</v>
      </c>
      <c r="B95" s="1" t="s">
        <v>117</v>
      </c>
      <c r="C95" s="1" t="s">
        <v>16</v>
      </c>
      <c r="D95" s="1" t="s">
        <v>17</v>
      </c>
      <c r="E95" s="1" t="s">
        <v>13</v>
      </c>
      <c r="F95" s="1" t="s">
        <v>19</v>
      </c>
      <c r="G95" s="1">
        <v>66.650000000000006</v>
      </c>
      <c r="H95" s="1">
        <v>9</v>
      </c>
      <c r="I95" s="1">
        <f t="shared" si="4"/>
        <v>29.992500000000003</v>
      </c>
      <c r="J95">
        <f t="shared" si="3"/>
        <v>629.84249999999997</v>
      </c>
    </row>
    <row r="96" spans="1:10" x14ac:dyDescent="0.3">
      <c r="A96" s="1" t="s">
        <v>9</v>
      </c>
      <c r="B96" s="1" t="s">
        <v>118</v>
      </c>
      <c r="C96" s="1" t="s">
        <v>16</v>
      </c>
      <c r="D96" s="1" t="s">
        <v>17</v>
      </c>
      <c r="E96" s="1" t="s">
        <v>13</v>
      </c>
      <c r="F96" s="1" t="s">
        <v>22</v>
      </c>
      <c r="G96" s="1">
        <v>28.53</v>
      </c>
      <c r="H96" s="1">
        <v>10</v>
      </c>
      <c r="I96" s="1">
        <f t="shared" si="4"/>
        <v>14.265000000000001</v>
      </c>
      <c r="J96">
        <f t="shared" si="3"/>
        <v>299.565</v>
      </c>
    </row>
    <row r="97" spans="1:10" x14ac:dyDescent="0.3">
      <c r="A97" s="1" t="s">
        <v>9</v>
      </c>
      <c r="B97" s="1" t="s">
        <v>119</v>
      </c>
      <c r="C97" s="1" t="s">
        <v>25</v>
      </c>
      <c r="D97" s="1" t="s">
        <v>26</v>
      </c>
      <c r="E97" s="1" t="s">
        <v>18</v>
      </c>
      <c r="F97" s="1" t="s">
        <v>29</v>
      </c>
      <c r="G97" s="1">
        <v>30.37</v>
      </c>
      <c r="H97" s="1">
        <v>3</v>
      </c>
      <c r="I97" s="1">
        <f t="shared" si="4"/>
        <v>4.5555000000000003</v>
      </c>
      <c r="J97">
        <f t="shared" si="3"/>
        <v>95.665499999999994</v>
      </c>
    </row>
    <row r="98" spans="1:10" x14ac:dyDescent="0.3">
      <c r="A98" s="1" t="s">
        <v>9</v>
      </c>
      <c r="B98" s="1" t="s">
        <v>120</v>
      </c>
      <c r="C98" s="1" t="s">
        <v>25</v>
      </c>
      <c r="D98" s="1" t="s">
        <v>26</v>
      </c>
      <c r="E98" s="1" t="s">
        <v>18</v>
      </c>
      <c r="F98" s="1" t="s">
        <v>19</v>
      </c>
      <c r="G98" s="1">
        <v>99.73</v>
      </c>
      <c r="H98" s="1">
        <v>9</v>
      </c>
      <c r="I98" s="1">
        <f t="shared" si="4"/>
        <v>44.878500000000003</v>
      </c>
      <c r="J98">
        <f t="shared" si="3"/>
        <v>942.44850000000008</v>
      </c>
    </row>
    <row r="99" spans="1:10" x14ac:dyDescent="0.3">
      <c r="A99" s="1" t="s">
        <v>9</v>
      </c>
      <c r="B99" s="1" t="s">
        <v>121</v>
      </c>
      <c r="C99" s="1" t="s">
        <v>16</v>
      </c>
      <c r="D99" s="1" t="s">
        <v>17</v>
      </c>
      <c r="E99" s="1" t="s">
        <v>18</v>
      </c>
      <c r="F99" s="1" t="s">
        <v>27</v>
      </c>
      <c r="G99" s="1">
        <v>93.26</v>
      </c>
      <c r="H99" s="1">
        <v>9</v>
      </c>
      <c r="I99" s="1">
        <f t="shared" si="4"/>
        <v>41.967000000000006</v>
      </c>
      <c r="J99">
        <f t="shared" si="3"/>
        <v>881.30700000000002</v>
      </c>
    </row>
    <row r="100" spans="1:10" x14ac:dyDescent="0.3">
      <c r="A100" s="1" t="s">
        <v>9</v>
      </c>
      <c r="B100" s="1" t="s">
        <v>122</v>
      </c>
      <c r="C100" s="1" t="s">
        <v>25</v>
      </c>
      <c r="D100" s="1" t="s">
        <v>26</v>
      </c>
      <c r="E100" s="1" t="s">
        <v>13</v>
      </c>
      <c r="F100" s="1" t="s">
        <v>33</v>
      </c>
      <c r="G100" s="1">
        <v>29.61</v>
      </c>
      <c r="H100" s="1">
        <v>7</v>
      </c>
      <c r="I100" s="1">
        <f t="shared" si="4"/>
        <v>10.3635</v>
      </c>
      <c r="J100">
        <f t="shared" si="3"/>
        <v>217.63349999999997</v>
      </c>
    </row>
    <row r="101" spans="1:10" x14ac:dyDescent="0.3">
      <c r="A101" s="1" t="s">
        <v>9</v>
      </c>
      <c r="B101" s="1" t="s">
        <v>123</v>
      </c>
      <c r="C101" s="1" t="s">
        <v>25</v>
      </c>
      <c r="D101" s="1" t="s">
        <v>26</v>
      </c>
      <c r="E101" s="1" t="s">
        <v>18</v>
      </c>
      <c r="F101" s="1" t="s">
        <v>33</v>
      </c>
      <c r="G101" s="1">
        <v>24.77</v>
      </c>
      <c r="H101" s="1">
        <v>5</v>
      </c>
      <c r="I101" s="1">
        <f t="shared" si="4"/>
        <v>6.1924999999999999</v>
      </c>
      <c r="J101">
        <f t="shared" si="3"/>
        <v>130.04249999999999</v>
      </c>
    </row>
    <row r="102" spans="1:10" x14ac:dyDescent="0.3">
      <c r="A102" s="1" t="s">
        <v>9</v>
      </c>
      <c r="B102" s="1" t="s">
        <v>124</v>
      </c>
      <c r="C102" s="1" t="s">
        <v>11</v>
      </c>
      <c r="D102" s="1" t="s">
        <v>12</v>
      </c>
      <c r="E102" s="1" t="s">
        <v>13</v>
      </c>
      <c r="F102" s="1" t="s">
        <v>19</v>
      </c>
      <c r="G102" s="1">
        <v>94.64</v>
      </c>
      <c r="H102" s="1">
        <v>3</v>
      </c>
      <c r="I102" s="1">
        <f t="shared" si="4"/>
        <v>14.196000000000002</v>
      </c>
      <c r="J102">
        <f t="shared" si="3"/>
        <v>298.11600000000004</v>
      </c>
    </row>
    <row r="103" spans="1:10" x14ac:dyDescent="0.3">
      <c r="A103" s="1" t="s">
        <v>9</v>
      </c>
      <c r="B103" s="1" t="s">
        <v>125</v>
      </c>
      <c r="C103" s="1" t="s">
        <v>25</v>
      </c>
      <c r="D103" s="1" t="s">
        <v>26</v>
      </c>
      <c r="E103" s="1" t="s">
        <v>18</v>
      </c>
      <c r="F103" s="1" t="s">
        <v>27</v>
      </c>
      <c r="G103" s="1">
        <v>57.34</v>
      </c>
      <c r="H103" s="1">
        <v>3</v>
      </c>
      <c r="I103" s="1">
        <f t="shared" si="4"/>
        <v>8.6010000000000009</v>
      </c>
      <c r="J103">
        <f t="shared" si="3"/>
        <v>180.62100000000001</v>
      </c>
    </row>
    <row r="104" spans="1:10" x14ac:dyDescent="0.3">
      <c r="A104" s="1" t="s">
        <v>9</v>
      </c>
      <c r="B104" s="1" t="s">
        <v>126</v>
      </c>
      <c r="C104" s="1" t="s">
        <v>16</v>
      </c>
      <c r="D104" s="1" t="s">
        <v>17</v>
      </c>
      <c r="E104" s="1" t="s">
        <v>13</v>
      </c>
      <c r="F104" s="1" t="s">
        <v>29</v>
      </c>
      <c r="G104" s="1">
        <v>12.54</v>
      </c>
      <c r="H104" s="1">
        <v>1</v>
      </c>
      <c r="I104" s="1">
        <f t="shared" si="4"/>
        <v>0.627</v>
      </c>
      <c r="J104">
        <f t="shared" si="3"/>
        <v>13.167</v>
      </c>
    </row>
    <row r="105" spans="1:10" x14ac:dyDescent="0.3">
      <c r="A105" s="1" t="s">
        <v>9</v>
      </c>
      <c r="B105" s="1" t="s">
        <v>127</v>
      </c>
      <c r="C105" s="1" t="s">
        <v>16</v>
      </c>
      <c r="D105" s="1" t="s">
        <v>17</v>
      </c>
      <c r="E105" s="1" t="s">
        <v>13</v>
      </c>
      <c r="F105" s="1" t="s">
        <v>33</v>
      </c>
      <c r="G105" s="1">
        <v>87.16</v>
      </c>
      <c r="H105" s="1">
        <v>2</v>
      </c>
      <c r="I105" s="1">
        <f t="shared" si="4"/>
        <v>8.7159999999999993</v>
      </c>
      <c r="J105">
        <f t="shared" si="3"/>
        <v>183.036</v>
      </c>
    </row>
    <row r="106" spans="1:10" x14ac:dyDescent="0.3">
      <c r="A106" s="1" t="s">
        <v>9</v>
      </c>
      <c r="B106" s="1" t="s">
        <v>128</v>
      </c>
      <c r="C106" s="1" t="s">
        <v>25</v>
      </c>
      <c r="D106" s="1" t="s">
        <v>26</v>
      </c>
      <c r="E106" s="1" t="s">
        <v>13</v>
      </c>
      <c r="F106" s="1" t="s">
        <v>19</v>
      </c>
      <c r="G106" s="1">
        <v>90.7</v>
      </c>
      <c r="H106" s="1">
        <v>6</v>
      </c>
      <c r="I106" s="1">
        <f t="shared" si="4"/>
        <v>27.210000000000004</v>
      </c>
      <c r="J106">
        <f t="shared" si="3"/>
        <v>571.41000000000008</v>
      </c>
    </row>
    <row r="107" spans="1:10" x14ac:dyDescent="0.3">
      <c r="A107" s="1" t="s">
        <v>9</v>
      </c>
      <c r="B107" s="1" t="s">
        <v>129</v>
      </c>
      <c r="C107" s="1" t="s">
        <v>11</v>
      </c>
      <c r="D107" s="1" t="s">
        <v>12</v>
      </c>
      <c r="E107" s="1" t="s">
        <v>18</v>
      </c>
      <c r="F107" s="1" t="s">
        <v>22</v>
      </c>
      <c r="G107" s="1">
        <v>63.42</v>
      </c>
      <c r="H107" s="1">
        <v>8</v>
      </c>
      <c r="I107" s="1">
        <f t="shared" si="4"/>
        <v>25.368000000000002</v>
      </c>
      <c r="J107">
        <f t="shared" si="3"/>
        <v>532.72800000000007</v>
      </c>
    </row>
    <row r="108" spans="1:10" x14ac:dyDescent="0.3">
      <c r="A108" s="1" t="s">
        <v>9</v>
      </c>
      <c r="B108" s="1" t="s">
        <v>130</v>
      </c>
      <c r="C108" s="1" t="s">
        <v>25</v>
      </c>
      <c r="D108" s="1" t="s">
        <v>26</v>
      </c>
      <c r="E108" s="1" t="s">
        <v>18</v>
      </c>
      <c r="F108" s="1" t="s">
        <v>29</v>
      </c>
      <c r="G108" s="1">
        <v>81.37</v>
      </c>
      <c r="H108" s="1">
        <v>2</v>
      </c>
      <c r="I108" s="1">
        <f t="shared" si="4"/>
        <v>8.1370000000000005</v>
      </c>
      <c r="J108">
        <f t="shared" si="3"/>
        <v>170.87700000000001</v>
      </c>
    </row>
    <row r="109" spans="1:10" x14ac:dyDescent="0.3">
      <c r="A109" s="1" t="s">
        <v>9</v>
      </c>
      <c r="B109" s="1" t="s">
        <v>131</v>
      </c>
      <c r="C109" s="1" t="s">
        <v>25</v>
      </c>
      <c r="D109" s="1" t="s">
        <v>26</v>
      </c>
      <c r="E109" s="1" t="s">
        <v>13</v>
      </c>
      <c r="F109" s="1" t="s">
        <v>19</v>
      </c>
      <c r="G109" s="1">
        <v>10.59</v>
      </c>
      <c r="H109" s="1">
        <v>3</v>
      </c>
      <c r="I109" s="1">
        <f t="shared" si="4"/>
        <v>1.5885</v>
      </c>
      <c r="J109">
        <f t="shared" si="3"/>
        <v>33.358499999999999</v>
      </c>
    </row>
    <row r="110" spans="1:10" x14ac:dyDescent="0.3">
      <c r="A110" s="1" t="s">
        <v>9</v>
      </c>
      <c r="B110" s="1" t="s">
        <v>132</v>
      </c>
      <c r="C110" s="1" t="s">
        <v>25</v>
      </c>
      <c r="D110" s="1" t="s">
        <v>26</v>
      </c>
      <c r="E110" s="1" t="s">
        <v>18</v>
      </c>
      <c r="F110" s="1" t="s">
        <v>14</v>
      </c>
      <c r="G110" s="1">
        <v>84.09</v>
      </c>
      <c r="H110" s="1">
        <v>9</v>
      </c>
      <c r="I110" s="1">
        <f t="shared" si="4"/>
        <v>37.840500000000006</v>
      </c>
      <c r="J110">
        <f t="shared" si="3"/>
        <v>794.65050000000008</v>
      </c>
    </row>
    <row r="111" spans="1:10" x14ac:dyDescent="0.3">
      <c r="A111" s="1" t="s">
        <v>9</v>
      </c>
      <c r="B111" s="1" t="s">
        <v>133</v>
      </c>
      <c r="C111" s="1" t="s">
        <v>11</v>
      </c>
      <c r="D111" s="1" t="s">
        <v>12</v>
      </c>
      <c r="E111" s="1" t="s">
        <v>18</v>
      </c>
      <c r="F111" s="1" t="s">
        <v>33</v>
      </c>
      <c r="G111" s="1">
        <v>93.14</v>
      </c>
      <c r="H111" s="1">
        <v>2</v>
      </c>
      <c r="I111" s="1">
        <f t="shared" si="4"/>
        <v>9.3140000000000001</v>
      </c>
      <c r="J111">
        <f t="shared" si="3"/>
        <v>195.59399999999999</v>
      </c>
    </row>
    <row r="112" spans="1:10" x14ac:dyDescent="0.3">
      <c r="A112" s="1" t="s">
        <v>9</v>
      </c>
      <c r="B112" s="1" t="s">
        <v>134</v>
      </c>
      <c r="C112" s="1" t="s">
        <v>16</v>
      </c>
      <c r="D112" s="1" t="s">
        <v>17</v>
      </c>
      <c r="E112" s="1" t="s">
        <v>13</v>
      </c>
      <c r="F112" s="1" t="s">
        <v>29</v>
      </c>
      <c r="G112" s="1">
        <v>44.22</v>
      </c>
      <c r="H112" s="1">
        <v>5</v>
      </c>
      <c r="I112" s="1">
        <f t="shared" si="4"/>
        <v>11.055</v>
      </c>
      <c r="J112">
        <f t="shared" si="3"/>
        <v>232.155</v>
      </c>
    </row>
    <row r="113" spans="1:10" x14ac:dyDescent="0.3">
      <c r="A113" s="1" t="s">
        <v>9</v>
      </c>
      <c r="B113" s="1" t="s">
        <v>135</v>
      </c>
      <c r="C113" s="1" t="s">
        <v>25</v>
      </c>
      <c r="D113" s="1" t="s">
        <v>26</v>
      </c>
      <c r="E113" s="1" t="s">
        <v>13</v>
      </c>
      <c r="F113" s="1" t="s">
        <v>19</v>
      </c>
      <c r="G113" s="1">
        <v>13.22</v>
      </c>
      <c r="H113" s="1">
        <v>5</v>
      </c>
      <c r="I113" s="1">
        <f t="shared" si="4"/>
        <v>3.3050000000000006</v>
      </c>
      <c r="J113">
        <f t="shared" si="3"/>
        <v>69.405000000000015</v>
      </c>
    </row>
    <row r="114" spans="1:10" x14ac:dyDescent="0.3">
      <c r="A114" s="1" t="s">
        <v>9</v>
      </c>
      <c r="B114" s="1" t="s">
        <v>136</v>
      </c>
      <c r="C114" s="1" t="s">
        <v>25</v>
      </c>
      <c r="D114" s="1" t="s">
        <v>26</v>
      </c>
      <c r="E114" s="1" t="s">
        <v>13</v>
      </c>
      <c r="F114" s="1" t="s">
        <v>19</v>
      </c>
      <c r="G114" s="1">
        <v>81.400000000000006</v>
      </c>
      <c r="H114" s="1">
        <v>3</v>
      </c>
      <c r="I114" s="1">
        <f t="shared" si="4"/>
        <v>12.21</v>
      </c>
      <c r="J114">
        <f t="shared" si="3"/>
        <v>256.41000000000003</v>
      </c>
    </row>
    <row r="115" spans="1:10" x14ac:dyDescent="0.3">
      <c r="A115" s="1" t="s">
        <v>9</v>
      </c>
      <c r="B115" s="1" t="s">
        <v>137</v>
      </c>
      <c r="C115" s="1" t="s">
        <v>16</v>
      </c>
      <c r="D115" s="1" t="s">
        <v>17</v>
      </c>
      <c r="E115" s="1" t="s">
        <v>18</v>
      </c>
      <c r="F115" s="1" t="s">
        <v>33</v>
      </c>
      <c r="G115" s="1">
        <v>14.39</v>
      </c>
      <c r="H115" s="1">
        <v>2</v>
      </c>
      <c r="I115" s="1">
        <f t="shared" si="4"/>
        <v>1.4390000000000001</v>
      </c>
      <c r="J115">
        <f t="shared" si="3"/>
        <v>30.219000000000001</v>
      </c>
    </row>
    <row r="116" spans="1:10" x14ac:dyDescent="0.3">
      <c r="A116" s="1" t="s">
        <v>9</v>
      </c>
      <c r="B116" s="1" t="s">
        <v>138</v>
      </c>
      <c r="C116" s="1" t="s">
        <v>11</v>
      </c>
      <c r="D116" s="1" t="s">
        <v>12</v>
      </c>
      <c r="E116" s="1" t="s">
        <v>18</v>
      </c>
      <c r="F116" s="1" t="s">
        <v>19</v>
      </c>
      <c r="G116" s="1">
        <v>75.06</v>
      </c>
      <c r="H116" s="1">
        <v>9</v>
      </c>
      <c r="I116" s="1">
        <f t="shared" si="4"/>
        <v>33.777000000000001</v>
      </c>
      <c r="J116">
        <f t="shared" si="3"/>
        <v>709.31700000000001</v>
      </c>
    </row>
    <row r="117" spans="1:10" x14ac:dyDescent="0.3">
      <c r="A117" s="1" t="s">
        <v>9</v>
      </c>
      <c r="B117" s="1" t="s">
        <v>139</v>
      </c>
      <c r="C117" s="1" t="s">
        <v>16</v>
      </c>
      <c r="D117" s="1" t="s">
        <v>17</v>
      </c>
      <c r="E117" s="1" t="s">
        <v>18</v>
      </c>
      <c r="F117" s="1" t="s">
        <v>29</v>
      </c>
      <c r="G117" s="1">
        <v>16.45</v>
      </c>
      <c r="H117" s="1">
        <v>4</v>
      </c>
      <c r="I117" s="1">
        <f t="shared" si="4"/>
        <v>3.29</v>
      </c>
      <c r="J117">
        <f t="shared" si="3"/>
        <v>69.09</v>
      </c>
    </row>
    <row r="118" spans="1:10" x14ac:dyDescent="0.3">
      <c r="A118" s="1" t="s">
        <v>9</v>
      </c>
      <c r="B118" s="1" t="s">
        <v>140</v>
      </c>
      <c r="C118" s="1" t="s">
        <v>25</v>
      </c>
      <c r="D118" s="1" t="s">
        <v>26</v>
      </c>
      <c r="E118" s="1" t="s">
        <v>13</v>
      </c>
      <c r="F118" s="1" t="s">
        <v>29</v>
      </c>
      <c r="G118" s="1">
        <v>38.299999999999997</v>
      </c>
      <c r="H118" s="1">
        <v>4</v>
      </c>
      <c r="I118" s="1">
        <f t="shared" si="4"/>
        <v>7.66</v>
      </c>
      <c r="J118">
        <f t="shared" si="3"/>
        <v>160.85999999999999</v>
      </c>
    </row>
    <row r="119" spans="1:10" x14ac:dyDescent="0.3">
      <c r="A119" s="1" t="s">
        <v>9</v>
      </c>
      <c r="B119" s="1" t="s">
        <v>141</v>
      </c>
      <c r="C119" s="1" t="s">
        <v>11</v>
      </c>
      <c r="D119" s="1" t="s">
        <v>12</v>
      </c>
      <c r="E119" s="1" t="s">
        <v>13</v>
      </c>
      <c r="F119" s="1" t="s">
        <v>33</v>
      </c>
      <c r="G119" s="1">
        <v>22.24</v>
      </c>
      <c r="H119" s="1">
        <v>10</v>
      </c>
      <c r="I119" s="1">
        <f t="shared" si="4"/>
        <v>11.12</v>
      </c>
      <c r="J119">
        <f t="shared" si="3"/>
        <v>233.51999999999998</v>
      </c>
    </row>
    <row r="120" spans="1:10" x14ac:dyDescent="0.3">
      <c r="A120" s="1" t="s">
        <v>9</v>
      </c>
      <c r="B120" s="1" t="s">
        <v>142</v>
      </c>
      <c r="C120" s="1" t="s">
        <v>11</v>
      </c>
      <c r="D120" s="1" t="s">
        <v>12</v>
      </c>
      <c r="E120" s="1" t="s">
        <v>13</v>
      </c>
      <c r="F120" s="1" t="s">
        <v>33</v>
      </c>
      <c r="G120" s="1">
        <v>98.4</v>
      </c>
      <c r="H120" s="1">
        <v>7</v>
      </c>
      <c r="I120" s="1">
        <f t="shared" si="4"/>
        <v>34.440000000000005</v>
      </c>
      <c r="J120">
        <f t="shared" si="3"/>
        <v>723.24000000000012</v>
      </c>
    </row>
    <row r="121" spans="1:10" x14ac:dyDescent="0.3">
      <c r="A121" s="1" t="s">
        <v>9</v>
      </c>
      <c r="B121" s="1" t="s">
        <v>143</v>
      </c>
      <c r="C121" s="1" t="s">
        <v>25</v>
      </c>
      <c r="D121" s="1" t="s">
        <v>26</v>
      </c>
      <c r="E121" s="1" t="s">
        <v>13</v>
      </c>
      <c r="F121" s="1" t="s">
        <v>27</v>
      </c>
      <c r="G121" s="1">
        <v>74.599999999999994</v>
      </c>
      <c r="H121" s="1">
        <v>10</v>
      </c>
      <c r="I121" s="1">
        <f t="shared" si="4"/>
        <v>37.300000000000004</v>
      </c>
      <c r="J121">
        <f t="shared" si="3"/>
        <v>783.3</v>
      </c>
    </row>
    <row r="122" spans="1:10" x14ac:dyDescent="0.3">
      <c r="A122" s="1" t="s">
        <v>9</v>
      </c>
      <c r="B122" s="1" t="s">
        <v>144</v>
      </c>
      <c r="C122" s="1" t="s">
        <v>11</v>
      </c>
      <c r="D122" s="1" t="s">
        <v>12</v>
      </c>
      <c r="E122" s="1" t="s">
        <v>13</v>
      </c>
      <c r="F122" s="1" t="s">
        <v>22</v>
      </c>
      <c r="G122" s="1">
        <v>35.54</v>
      </c>
      <c r="H122" s="1">
        <v>10</v>
      </c>
      <c r="I122" s="1">
        <f t="shared" si="4"/>
        <v>17.77</v>
      </c>
      <c r="J122">
        <f t="shared" si="3"/>
        <v>373.16999999999996</v>
      </c>
    </row>
    <row r="123" spans="1:10" x14ac:dyDescent="0.3">
      <c r="A123" s="1" t="s">
        <v>9</v>
      </c>
      <c r="B123" s="1" t="s">
        <v>145</v>
      </c>
      <c r="C123" s="1" t="s">
        <v>25</v>
      </c>
      <c r="D123" s="1" t="s">
        <v>26</v>
      </c>
      <c r="E123" s="1" t="s">
        <v>18</v>
      </c>
      <c r="F123" s="1" t="s">
        <v>33</v>
      </c>
      <c r="G123" s="1">
        <v>67.430000000000007</v>
      </c>
      <c r="H123" s="1">
        <v>5</v>
      </c>
      <c r="I123" s="1">
        <f t="shared" si="4"/>
        <v>16.857500000000002</v>
      </c>
      <c r="J123">
        <f t="shared" si="3"/>
        <v>354.00750000000005</v>
      </c>
    </row>
    <row r="124" spans="1:10" x14ac:dyDescent="0.3">
      <c r="A124" s="1" t="s">
        <v>9</v>
      </c>
      <c r="B124" s="1" t="s">
        <v>146</v>
      </c>
      <c r="C124" s="1" t="s">
        <v>16</v>
      </c>
      <c r="D124" s="1" t="s">
        <v>17</v>
      </c>
      <c r="E124" s="1" t="s">
        <v>13</v>
      </c>
      <c r="F124" s="1" t="s">
        <v>14</v>
      </c>
      <c r="G124" s="1">
        <v>21.12</v>
      </c>
      <c r="H124" s="1">
        <v>2</v>
      </c>
      <c r="I124" s="1">
        <f t="shared" si="4"/>
        <v>2.1120000000000001</v>
      </c>
      <c r="J124">
        <f t="shared" si="3"/>
        <v>44.352000000000004</v>
      </c>
    </row>
    <row r="125" spans="1:10" x14ac:dyDescent="0.3">
      <c r="A125" s="1" t="s">
        <v>9</v>
      </c>
      <c r="B125" s="1" t="s">
        <v>147</v>
      </c>
      <c r="C125" s="1" t="s">
        <v>11</v>
      </c>
      <c r="D125" s="1" t="s">
        <v>12</v>
      </c>
      <c r="E125" s="1" t="s">
        <v>13</v>
      </c>
      <c r="F125" s="1" t="s">
        <v>22</v>
      </c>
      <c r="G125" s="1">
        <v>21.54</v>
      </c>
      <c r="H125" s="1">
        <v>9</v>
      </c>
      <c r="I125" s="1">
        <f t="shared" si="4"/>
        <v>9.6929999999999996</v>
      </c>
      <c r="J125">
        <f t="shared" si="3"/>
        <v>203.553</v>
      </c>
    </row>
    <row r="126" spans="1:10" x14ac:dyDescent="0.3">
      <c r="A126" s="1" t="s">
        <v>9</v>
      </c>
      <c r="B126" s="1" t="s">
        <v>148</v>
      </c>
      <c r="C126" s="1" t="s">
        <v>11</v>
      </c>
      <c r="D126" s="1" t="s">
        <v>12</v>
      </c>
      <c r="E126" s="1" t="s">
        <v>18</v>
      </c>
      <c r="F126" s="1" t="s">
        <v>22</v>
      </c>
      <c r="G126" s="1">
        <v>12.03</v>
      </c>
      <c r="H126" s="1">
        <v>2</v>
      </c>
      <c r="I126" s="1">
        <f t="shared" si="4"/>
        <v>1.2030000000000001</v>
      </c>
      <c r="J126">
        <f t="shared" si="3"/>
        <v>25.262999999999998</v>
      </c>
    </row>
    <row r="127" spans="1:10" x14ac:dyDescent="0.3">
      <c r="A127" s="1" t="s">
        <v>9</v>
      </c>
      <c r="B127" s="1" t="s">
        <v>149</v>
      </c>
      <c r="C127" s="1" t="s">
        <v>25</v>
      </c>
      <c r="D127" s="1" t="s">
        <v>26</v>
      </c>
      <c r="E127" s="1" t="s">
        <v>18</v>
      </c>
      <c r="F127" s="1" t="s">
        <v>14</v>
      </c>
      <c r="G127" s="1">
        <v>99.71</v>
      </c>
      <c r="H127" s="1">
        <v>6</v>
      </c>
      <c r="I127" s="1">
        <f t="shared" si="4"/>
        <v>29.913</v>
      </c>
      <c r="J127">
        <f t="shared" si="3"/>
        <v>628.173</v>
      </c>
    </row>
    <row r="128" spans="1:10" x14ac:dyDescent="0.3">
      <c r="A128" s="1" t="s">
        <v>9</v>
      </c>
      <c r="B128" s="1" t="s">
        <v>150</v>
      </c>
      <c r="C128" s="1" t="s">
        <v>16</v>
      </c>
      <c r="D128" s="1" t="s">
        <v>17</v>
      </c>
      <c r="E128" s="1" t="s">
        <v>13</v>
      </c>
      <c r="F128" s="1" t="s">
        <v>22</v>
      </c>
      <c r="G128" s="1">
        <v>21.82</v>
      </c>
      <c r="H128" s="1">
        <v>10</v>
      </c>
      <c r="I128" s="1">
        <f t="shared" si="4"/>
        <v>10.91</v>
      </c>
      <c r="J128">
        <f t="shared" si="3"/>
        <v>229.10999999999999</v>
      </c>
    </row>
    <row r="129" spans="1:10" x14ac:dyDescent="0.3">
      <c r="A129" s="1" t="s">
        <v>9</v>
      </c>
      <c r="B129" s="1" t="s">
        <v>151</v>
      </c>
      <c r="C129" s="1" t="s">
        <v>16</v>
      </c>
      <c r="D129" s="1" t="s">
        <v>17</v>
      </c>
      <c r="E129" s="1" t="s">
        <v>18</v>
      </c>
      <c r="F129" s="1" t="s">
        <v>29</v>
      </c>
      <c r="G129" s="1">
        <v>95.42</v>
      </c>
      <c r="H129" s="1">
        <v>4</v>
      </c>
      <c r="I129" s="1">
        <f t="shared" si="4"/>
        <v>19.084</v>
      </c>
      <c r="J129">
        <f t="shared" si="3"/>
        <v>400.76400000000001</v>
      </c>
    </row>
    <row r="130" spans="1:10" x14ac:dyDescent="0.3">
      <c r="A130" s="1" t="s">
        <v>9</v>
      </c>
      <c r="B130" s="1" t="s">
        <v>152</v>
      </c>
      <c r="C130" s="1" t="s">
        <v>11</v>
      </c>
      <c r="D130" s="1" t="s">
        <v>12</v>
      </c>
      <c r="E130" s="1" t="s">
        <v>18</v>
      </c>
      <c r="F130" s="1" t="s">
        <v>22</v>
      </c>
      <c r="G130" s="1">
        <v>69.959999999999994</v>
      </c>
      <c r="H130" s="1">
        <v>8</v>
      </c>
      <c r="I130" s="1">
        <f t="shared" si="4"/>
        <v>27.983999999999998</v>
      </c>
      <c r="J130">
        <f t="shared" si="3"/>
        <v>587.66399999999999</v>
      </c>
    </row>
    <row r="131" spans="1:10" x14ac:dyDescent="0.3">
      <c r="A131" s="1" t="s">
        <v>9</v>
      </c>
      <c r="B131" s="1" t="s">
        <v>153</v>
      </c>
      <c r="C131" s="1" t="s">
        <v>11</v>
      </c>
      <c r="D131" s="1" t="s">
        <v>12</v>
      </c>
      <c r="E131" s="1" t="s">
        <v>18</v>
      </c>
      <c r="F131" s="1" t="s">
        <v>33</v>
      </c>
      <c r="G131" s="1">
        <v>15.34</v>
      </c>
      <c r="H131" s="1">
        <v>1</v>
      </c>
      <c r="I131" s="1">
        <f t="shared" si="4"/>
        <v>0.76700000000000002</v>
      </c>
      <c r="J131">
        <f t="shared" ref="J131:J194" si="5">(G131*H131)+I131</f>
        <v>16.106999999999999</v>
      </c>
    </row>
    <row r="132" spans="1:10" x14ac:dyDescent="0.3">
      <c r="A132" s="1" t="s">
        <v>9</v>
      </c>
      <c r="B132" s="1" t="s">
        <v>154</v>
      </c>
      <c r="C132" s="1" t="s">
        <v>11</v>
      </c>
      <c r="D132" s="1" t="s">
        <v>12</v>
      </c>
      <c r="E132" s="1" t="s">
        <v>13</v>
      </c>
      <c r="F132" s="1" t="s">
        <v>14</v>
      </c>
      <c r="G132" s="1">
        <v>47.67</v>
      </c>
      <c r="H132" s="1">
        <v>4</v>
      </c>
      <c r="I132" s="1">
        <f t="shared" si="4"/>
        <v>9.5340000000000007</v>
      </c>
      <c r="J132">
        <f t="shared" si="5"/>
        <v>200.214</v>
      </c>
    </row>
    <row r="133" spans="1:10" x14ac:dyDescent="0.3">
      <c r="A133" s="1" t="s">
        <v>9</v>
      </c>
      <c r="B133" s="1" t="s">
        <v>155</v>
      </c>
      <c r="C133" s="1" t="s">
        <v>16</v>
      </c>
      <c r="D133" s="1" t="s">
        <v>17</v>
      </c>
      <c r="E133" s="1" t="s">
        <v>18</v>
      </c>
      <c r="F133" s="1" t="s">
        <v>33</v>
      </c>
      <c r="G133" s="1">
        <v>23.75</v>
      </c>
      <c r="H133" s="1">
        <v>9</v>
      </c>
      <c r="I133" s="1">
        <f t="shared" si="4"/>
        <v>10.6875</v>
      </c>
      <c r="J133">
        <f t="shared" si="5"/>
        <v>224.4375</v>
      </c>
    </row>
    <row r="134" spans="1:10" x14ac:dyDescent="0.3">
      <c r="A134" s="1" t="s">
        <v>9</v>
      </c>
      <c r="B134" s="1" t="s">
        <v>156</v>
      </c>
      <c r="C134" s="1" t="s">
        <v>25</v>
      </c>
      <c r="D134" s="1" t="s">
        <v>26</v>
      </c>
      <c r="E134" s="1" t="s">
        <v>18</v>
      </c>
      <c r="F134" s="1" t="s">
        <v>27</v>
      </c>
      <c r="G134" s="1">
        <v>48.51</v>
      </c>
      <c r="H134" s="1">
        <v>7</v>
      </c>
      <c r="I134" s="1">
        <f t="shared" si="4"/>
        <v>16.9785</v>
      </c>
      <c r="J134">
        <f t="shared" si="5"/>
        <v>356.54849999999999</v>
      </c>
    </row>
    <row r="135" spans="1:10" x14ac:dyDescent="0.3">
      <c r="A135" s="1" t="s">
        <v>9</v>
      </c>
      <c r="B135" s="1" t="s">
        <v>157</v>
      </c>
      <c r="C135" s="1" t="s">
        <v>11</v>
      </c>
      <c r="D135" s="1" t="s">
        <v>12</v>
      </c>
      <c r="E135" s="1" t="s">
        <v>13</v>
      </c>
      <c r="F135" s="1" t="s">
        <v>22</v>
      </c>
      <c r="G135" s="1">
        <v>94.88</v>
      </c>
      <c r="H135" s="1">
        <v>7</v>
      </c>
      <c r="I135" s="1">
        <f t="shared" si="4"/>
        <v>33.207999999999998</v>
      </c>
      <c r="J135">
        <f t="shared" si="5"/>
        <v>697.36799999999994</v>
      </c>
    </row>
    <row r="136" spans="1:10" x14ac:dyDescent="0.3">
      <c r="A136" s="1" t="s">
        <v>9</v>
      </c>
      <c r="B136" s="1" t="s">
        <v>158</v>
      </c>
      <c r="C136" s="1" t="s">
        <v>11</v>
      </c>
      <c r="D136" s="1" t="s">
        <v>12</v>
      </c>
      <c r="E136" s="1" t="s">
        <v>13</v>
      </c>
      <c r="F136" s="1" t="s">
        <v>19</v>
      </c>
      <c r="G136" s="1">
        <v>62.48</v>
      </c>
      <c r="H136" s="1">
        <v>1</v>
      </c>
      <c r="I136" s="1">
        <f t="shared" si="4"/>
        <v>3.1240000000000001</v>
      </c>
      <c r="J136">
        <f t="shared" si="5"/>
        <v>65.603999999999999</v>
      </c>
    </row>
    <row r="137" spans="1:10" x14ac:dyDescent="0.3">
      <c r="A137" s="1" t="s">
        <v>9</v>
      </c>
      <c r="B137" s="1" t="s">
        <v>159</v>
      </c>
      <c r="C137" s="1" t="s">
        <v>11</v>
      </c>
      <c r="D137" s="1" t="s">
        <v>12</v>
      </c>
      <c r="E137" s="1" t="s">
        <v>13</v>
      </c>
      <c r="F137" s="1" t="s">
        <v>27</v>
      </c>
      <c r="G137" s="1">
        <v>36.36</v>
      </c>
      <c r="H137" s="1">
        <v>2</v>
      </c>
      <c r="I137" s="1">
        <f t="shared" si="4"/>
        <v>3.6360000000000001</v>
      </c>
      <c r="J137">
        <f t="shared" si="5"/>
        <v>76.355999999999995</v>
      </c>
    </row>
    <row r="138" spans="1:10" x14ac:dyDescent="0.3">
      <c r="A138" s="1" t="s">
        <v>9</v>
      </c>
      <c r="B138" s="1" t="s">
        <v>160</v>
      </c>
      <c r="C138" s="1" t="s">
        <v>16</v>
      </c>
      <c r="D138" s="1" t="s">
        <v>17</v>
      </c>
      <c r="E138" s="1" t="s">
        <v>13</v>
      </c>
      <c r="F138" s="1" t="s">
        <v>19</v>
      </c>
      <c r="G138" s="1">
        <v>51.92</v>
      </c>
      <c r="H138" s="1">
        <v>5</v>
      </c>
      <c r="I138" s="1">
        <f t="shared" si="4"/>
        <v>12.980000000000002</v>
      </c>
      <c r="J138">
        <f t="shared" si="5"/>
        <v>272.58000000000004</v>
      </c>
    </row>
    <row r="139" spans="1:10" x14ac:dyDescent="0.3">
      <c r="A139" s="1" t="s">
        <v>9</v>
      </c>
      <c r="B139" s="1" t="s">
        <v>161</v>
      </c>
      <c r="C139" s="1" t="s">
        <v>16</v>
      </c>
      <c r="D139" s="1" t="s">
        <v>17</v>
      </c>
      <c r="E139" s="1" t="s">
        <v>13</v>
      </c>
      <c r="F139" s="1" t="s">
        <v>22</v>
      </c>
      <c r="G139" s="1">
        <v>88.61</v>
      </c>
      <c r="H139" s="1">
        <v>1</v>
      </c>
      <c r="I139" s="1">
        <f t="shared" si="4"/>
        <v>4.4305000000000003</v>
      </c>
      <c r="J139">
        <f t="shared" si="5"/>
        <v>93.040499999999994</v>
      </c>
    </row>
    <row r="140" spans="1:10" x14ac:dyDescent="0.3">
      <c r="A140" s="1" t="s">
        <v>9</v>
      </c>
      <c r="B140" s="1" t="s">
        <v>162</v>
      </c>
      <c r="C140" s="1" t="s">
        <v>11</v>
      </c>
      <c r="D140" s="1" t="s">
        <v>12</v>
      </c>
      <c r="E140" s="1" t="s">
        <v>18</v>
      </c>
      <c r="F140" s="1" t="s">
        <v>19</v>
      </c>
      <c r="G140" s="1">
        <v>51.19</v>
      </c>
      <c r="H140" s="1">
        <v>4</v>
      </c>
      <c r="I140" s="1">
        <f t="shared" si="4"/>
        <v>10.238</v>
      </c>
      <c r="J140">
        <f t="shared" si="5"/>
        <v>214.99799999999999</v>
      </c>
    </row>
    <row r="141" spans="1:10" x14ac:dyDescent="0.3">
      <c r="A141" s="1" t="s">
        <v>9</v>
      </c>
      <c r="B141" s="1" t="s">
        <v>163</v>
      </c>
      <c r="C141" s="1" t="s">
        <v>25</v>
      </c>
      <c r="D141" s="1" t="s">
        <v>26</v>
      </c>
      <c r="E141" s="1" t="s">
        <v>18</v>
      </c>
      <c r="F141" s="1" t="s">
        <v>19</v>
      </c>
      <c r="G141" s="1">
        <v>14.96</v>
      </c>
      <c r="H141" s="1">
        <v>8</v>
      </c>
      <c r="I141" s="1">
        <f t="shared" si="4"/>
        <v>5.9840000000000009</v>
      </c>
      <c r="J141">
        <f t="shared" si="5"/>
        <v>125.664</v>
      </c>
    </row>
    <row r="142" spans="1:10" x14ac:dyDescent="0.3">
      <c r="A142" s="1" t="s">
        <v>9</v>
      </c>
      <c r="B142" s="1" t="s">
        <v>164</v>
      </c>
      <c r="C142" s="1" t="s">
        <v>11</v>
      </c>
      <c r="D142" s="1" t="s">
        <v>12</v>
      </c>
      <c r="E142" s="1" t="s">
        <v>18</v>
      </c>
      <c r="F142" s="1" t="s">
        <v>33</v>
      </c>
      <c r="G142" s="1">
        <v>40.229999999999997</v>
      </c>
      <c r="H142" s="1">
        <v>7</v>
      </c>
      <c r="I142" s="1">
        <f t="shared" si="4"/>
        <v>14.080499999999999</v>
      </c>
      <c r="J142">
        <f t="shared" si="5"/>
        <v>295.69049999999993</v>
      </c>
    </row>
    <row r="143" spans="1:10" x14ac:dyDescent="0.3">
      <c r="A143" s="1" t="s">
        <v>9</v>
      </c>
      <c r="B143" s="1" t="s">
        <v>165</v>
      </c>
      <c r="C143" s="1" t="s">
        <v>11</v>
      </c>
      <c r="D143" s="1" t="s">
        <v>12</v>
      </c>
      <c r="E143" s="1" t="s">
        <v>13</v>
      </c>
      <c r="F143" s="1" t="s">
        <v>22</v>
      </c>
      <c r="G143" s="1">
        <v>88.79</v>
      </c>
      <c r="H143" s="1">
        <v>8</v>
      </c>
      <c r="I143" s="1">
        <f t="shared" si="4"/>
        <v>35.516000000000005</v>
      </c>
      <c r="J143">
        <f t="shared" si="5"/>
        <v>745.83600000000001</v>
      </c>
    </row>
    <row r="144" spans="1:10" x14ac:dyDescent="0.3">
      <c r="A144" s="1" t="s">
        <v>9</v>
      </c>
      <c r="B144" s="1" t="s">
        <v>166</v>
      </c>
      <c r="C144" s="1" t="s">
        <v>11</v>
      </c>
      <c r="D144" s="1" t="s">
        <v>12</v>
      </c>
      <c r="E144" s="1" t="s">
        <v>13</v>
      </c>
      <c r="F144" s="1" t="s">
        <v>19</v>
      </c>
      <c r="G144" s="1">
        <v>26.48</v>
      </c>
      <c r="H144" s="1">
        <v>3</v>
      </c>
      <c r="I144" s="1">
        <f t="shared" si="4"/>
        <v>3.972</v>
      </c>
      <c r="J144">
        <f t="shared" si="5"/>
        <v>83.411999999999992</v>
      </c>
    </row>
    <row r="145" spans="1:10" x14ac:dyDescent="0.3">
      <c r="A145" s="1" t="s">
        <v>9</v>
      </c>
      <c r="B145" s="1" t="s">
        <v>167</v>
      </c>
      <c r="C145" s="1" t="s">
        <v>11</v>
      </c>
      <c r="D145" s="1" t="s">
        <v>12</v>
      </c>
      <c r="E145" s="1" t="s">
        <v>18</v>
      </c>
      <c r="F145" s="1" t="s">
        <v>29</v>
      </c>
      <c r="G145" s="1">
        <v>81.91</v>
      </c>
      <c r="H145" s="1">
        <v>2</v>
      </c>
      <c r="I145" s="1">
        <f t="shared" si="4"/>
        <v>8.1910000000000007</v>
      </c>
      <c r="J145">
        <f t="shared" si="5"/>
        <v>172.011</v>
      </c>
    </row>
    <row r="146" spans="1:10" x14ac:dyDescent="0.3">
      <c r="A146" s="1" t="s">
        <v>9</v>
      </c>
      <c r="B146" s="1" t="s">
        <v>168</v>
      </c>
      <c r="C146" s="1" t="s">
        <v>11</v>
      </c>
      <c r="D146" s="1" t="s">
        <v>12</v>
      </c>
      <c r="E146" s="1" t="s">
        <v>13</v>
      </c>
      <c r="F146" s="1" t="s">
        <v>27</v>
      </c>
      <c r="G146" s="1">
        <v>14.23</v>
      </c>
      <c r="H146" s="1">
        <v>5</v>
      </c>
      <c r="I146" s="1">
        <f t="shared" si="4"/>
        <v>3.5575000000000006</v>
      </c>
      <c r="J146">
        <f t="shared" si="5"/>
        <v>74.70750000000001</v>
      </c>
    </row>
    <row r="147" spans="1:10" x14ac:dyDescent="0.3">
      <c r="A147" s="1" t="s">
        <v>9</v>
      </c>
      <c r="B147" s="1" t="s">
        <v>169</v>
      </c>
      <c r="C147" s="1" t="s">
        <v>11</v>
      </c>
      <c r="D147" s="1" t="s">
        <v>12</v>
      </c>
      <c r="E147" s="1" t="s">
        <v>13</v>
      </c>
      <c r="F147" s="1" t="s">
        <v>14</v>
      </c>
      <c r="G147" s="1">
        <v>15.55</v>
      </c>
      <c r="H147" s="1">
        <v>9</v>
      </c>
      <c r="I147" s="1">
        <f t="shared" si="4"/>
        <v>6.9975000000000014</v>
      </c>
      <c r="J147">
        <f t="shared" si="5"/>
        <v>146.94750000000002</v>
      </c>
    </row>
    <row r="148" spans="1:10" x14ac:dyDescent="0.3">
      <c r="A148" s="1" t="s">
        <v>9</v>
      </c>
      <c r="B148" s="1" t="s">
        <v>170</v>
      </c>
      <c r="C148" s="1" t="s">
        <v>16</v>
      </c>
      <c r="D148" s="1" t="s">
        <v>17</v>
      </c>
      <c r="E148" s="1" t="s">
        <v>13</v>
      </c>
      <c r="F148" s="1" t="s">
        <v>19</v>
      </c>
      <c r="G148" s="1">
        <v>78.13</v>
      </c>
      <c r="H148" s="1">
        <v>10</v>
      </c>
      <c r="I148" s="1">
        <f t="shared" si="4"/>
        <v>39.064999999999998</v>
      </c>
      <c r="J148">
        <f t="shared" si="5"/>
        <v>820.36500000000001</v>
      </c>
    </row>
    <row r="149" spans="1:10" x14ac:dyDescent="0.3">
      <c r="A149" s="1" t="s">
        <v>9</v>
      </c>
      <c r="B149" s="1" t="s">
        <v>171</v>
      </c>
      <c r="C149" s="1" t="s">
        <v>16</v>
      </c>
      <c r="D149" s="1" t="s">
        <v>17</v>
      </c>
      <c r="E149" s="1" t="s">
        <v>13</v>
      </c>
      <c r="F149" s="1" t="s">
        <v>27</v>
      </c>
      <c r="G149" s="1">
        <v>21.08</v>
      </c>
      <c r="H149" s="1">
        <v>3</v>
      </c>
      <c r="I149" s="1">
        <f t="shared" si="4"/>
        <v>3.1619999999999999</v>
      </c>
      <c r="J149">
        <f t="shared" si="5"/>
        <v>66.402000000000001</v>
      </c>
    </row>
    <row r="150" spans="1:10" x14ac:dyDescent="0.3">
      <c r="A150" s="1" t="s">
        <v>9</v>
      </c>
      <c r="B150" s="1" t="s">
        <v>172</v>
      </c>
      <c r="C150" s="1" t="s">
        <v>16</v>
      </c>
      <c r="D150" s="1" t="s">
        <v>17</v>
      </c>
      <c r="E150" s="1" t="s">
        <v>13</v>
      </c>
      <c r="F150" s="1" t="s">
        <v>14</v>
      </c>
      <c r="G150" s="1">
        <v>29.67</v>
      </c>
      <c r="H150" s="1">
        <v>7</v>
      </c>
      <c r="I150" s="1">
        <f t="shared" si="4"/>
        <v>10.384500000000001</v>
      </c>
      <c r="J150">
        <f t="shared" si="5"/>
        <v>218.0745</v>
      </c>
    </row>
    <row r="151" spans="1:10" x14ac:dyDescent="0.3">
      <c r="A151" s="1" t="s">
        <v>9</v>
      </c>
      <c r="B151" s="1" t="s">
        <v>173</v>
      </c>
      <c r="C151" s="1" t="s">
        <v>16</v>
      </c>
      <c r="D151" s="1" t="s">
        <v>17</v>
      </c>
      <c r="E151" s="1" t="s">
        <v>18</v>
      </c>
      <c r="F151" s="1" t="s">
        <v>27</v>
      </c>
      <c r="G151" s="1">
        <v>22.93</v>
      </c>
      <c r="H151" s="1">
        <v>9</v>
      </c>
      <c r="I151" s="1">
        <f t="shared" si="4"/>
        <v>10.3185</v>
      </c>
      <c r="J151">
        <f t="shared" si="5"/>
        <v>216.6885</v>
      </c>
    </row>
    <row r="152" spans="1:10" x14ac:dyDescent="0.3">
      <c r="A152" s="1" t="s">
        <v>9</v>
      </c>
      <c r="B152" s="1" t="s">
        <v>174</v>
      </c>
      <c r="C152" s="1" t="s">
        <v>16</v>
      </c>
      <c r="D152" s="1" t="s">
        <v>17</v>
      </c>
      <c r="E152" s="1" t="s">
        <v>18</v>
      </c>
      <c r="F152" s="1" t="s">
        <v>14</v>
      </c>
      <c r="G152" s="1">
        <v>39.42</v>
      </c>
      <c r="H152" s="1">
        <v>1</v>
      </c>
      <c r="I152" s="1">
        <f t="shared" si="4"/>
        <v>1.9710000000000001</v>
      </c>
      <c r="J152">
        <f t="shared" si="5"/>
        <v>41.391000000000005</v>
      </c>
    </row>
    <row r="153" spans="1:10" x14ac:dyDescent="0.3">
      <c r="A153" s="1" t="s">
        <v>9</v>
      </c>
      <c r="B153" s="1" t="s">
        <v>175</v>
      </c>
      <c r="C153" s="1" t="s">
        <v>11</v>
      </c>
      <c r="D153" s="1" t="s">
        <v>12</v>
      </c>
      <c r="E153" s="1" t="s">
        <v>18</v>
      </c>
      <c r="F153" s="1" t="s">
        <v>29</v>
      </c>
      <c r="G153" s="1">
        <v>61.77</v>
      </c>
      <c r="H153" s="1">
        <v>5</v>
      </c>
      <c r="I153" s="1">
        <f t="shared" ref="I153:I216" si="6">(G153*H153)*5%</f>
        <v>15.442500000000003</v>
      </c>
      <c r="J153">
        <f t="shared" si="5"/>
        <v>324.29250000000002</v>
      </c>
    </row>
    <row r="154" spans="1:10" x14ac:dyDescent="0.3">
      <c r="A154" s="1" t="s">
        <v>9</v>
      </c>
      <c r="B154" s="1" t="s">
        <v>176</v>
      </c>
      <c r="C154" s="1" t="s">
        <v>11</v>
      </c>
      <c r="D154" s="1" t="s">
        <v>12</v>
      </c>
      <c r="E154" s="1" t="s">
        <v>13</v>
      </c>
      <c r="F154" s="1" t="s">
        <v>19</v>
      </c>
      <c r="G154" s="1">
        <v>28.45</v>
      </c>
      <c r="H154" s="1">
        <v>5</v>
      </c>
      <c r="I154" s="1">
        <f t="shared" si="6"/>
        <v>7.1125000000000007</v>
      </c>
      <c r="J154">
        <f t="shared" si="5"/>
        <v>149.36250000000001</v>
      </c>
    </row>
    <row r="155" spans="1:10" x14ac:dyDescent="0.3">
      <c r="A155" s="1" t="s">
        <v>9</v>
      </c>
      <c r="B155" s="1" t="s">
        <v>177</v>
      </c>
      <c r="C155" s="1" t="s">
        <v>25</v>
      </c>
      <c r="D155" s="1" t="s">
        <v>26</v>
      </c>
      <c r="E155" s="1" t="s">
        <v>18</v>
      </c>
      <c r="F155" s="1" t="s">
        <v>33</v>
      </c>
      <c r="G155" s="1">
        <v>57.95</v>
      </c>
      <c r="H155" s="1">
        <v>6</v>
      </c>
      <c r="I155" s="1">
        <f t="shared" si="6"/>
        <v>17.385000000000002</v>
      </c>
      <c r="J155">
        <f t="shared" si="5"/>
        <v>365.08500000000004</v>
      </c>
    </row>
    <row r="156" spans="1:10" x14ac:dyDescent="0.3">
      <c r="A156" s="1" t="s">
        <v>9</v>
      </c>
      <c r="B156" s="1" t="s">
        <v>178</v>
      </c>
      <c r="C156" s="1" t="s">
        <v>16</v>
      </c>
      <c r="D156" s="1" t="s">
        <v>17</v>
      </c>
      <c r="E156" s="1" t="s">
        <v>18</v>
      </c>
      <c r="F156" s="1" t="s">
        <v>19</v>
      </c>
      <c r="G156" s="1">
        <v>47.65</v>
      </c>
      <c r="H156" s="1">
        <v>3</v>
      </c>
      <c r="I156" s="1">
        <f t="shared" si="6"/>
        <v>7.1475</v>
      </c>
      <c r="J156">
        <f t="shared" si="5"/>
        <v>150.0975</v>
      </c>
    </row>
    <row r="157" spans="1:10" x14ac:dyDescent="0.3">
      <c r="A157" s="1" t="s">
        <v>9</v>
      </c>
      <c r="B157" s="1" t="s">
        <v>179</v>
      </c>
      <c r="C157" s="1" t="s">
        <v>25</v>
      </c>
      <c r="D157" s="1" t="s">
        <v>26</v>
      </c>
      <c r="E157" s="1" t="s">
        <v>13</v>
      </c>
      <c r="F157" s="1" t="s">
        <v>27</v>
      </c>
      <c r="G157" s="1">
        <v>42.82</v>
      </c>
      <c r="H157" s="1">
        <v>9</v>
      </c>
      <c r="I157" s="1">
        <f t="shared" si="6"/>
        <v>19.269000000000002</v>
      </c>
      <c r="J157">
        <f t="shared" si="5"/>
        <v>404.649</v>
      </c>
    </row>
    <row r="158" spans="1:10" x14ac:dyDescent="0.3">
      <c r="A158" s="1" t="s">
        <v>9</v>
      </c>
      <c r="B158" s="1" t="s">
        <v>180</v>
      </c>
      <c r="C158" s="1" t="s">
        <v>25</v>
      </c>
      <c r="D158" s="1" t="s">
        <v>26</v>
      </c>
      <c r="E158" s="1" t="s">
        <v>13</v>
      </c>
      <c r="F158" s="1" t="s">
        <v>14</v>
      </c>
      <c r="G158" s="1">
        <v>55.97</v>
      </c>
      <c r="H158" s="1">
        <v>7</v>
      </c>
      <c r="I158" s="1">
        <f t="shared" si="6"/>
        <v>19.589500000000001</v>
      </c>
      <c r="J158">
        <f t="shared" si="5"/>
        <v>411.37949999999995</v>
      </c>
    </row>
    <row r="159" spans="1:10" x14ac:dyDescent="0.3">
      <c r="A159" s="1" t="s">
        <v>9</v>
      </c>
      <c r="B159" s="1" t="s">
        <v>181</v>
      </c>
      <c r="C159" s="1" t="s">
        <v>25</v>
      </c>
      <c r="D159" s="1" t="s">
        <v>26</v>
      </c>
      <c r="E159" s="1" t="s">
        <v>13</v>
      </c>
      <c r="F159" s="1" t="s">
        <v>14</v>
      </c>
      <c r="G159" s="1">
        <v>76.900000000000006</v>
      </c>
      <c r="H159" s="1">
        <v>7</v>
      </c>
      <c r="I159" s="1">
        <f t="shared" si="6"/>
        <v>26.915000000000006</v>
      </c>
      <c r="J159">
        <f t="shared" si="5"/>
        <v>565.21500000000003</v>
      </c>
    </row>
    <row r="160" spans="1:10" x14ac:dyDescent="0.3">
      <c r="A160" s="1" t="s">
        <v>9</v>
      </c>
      <c r="B160" s="1" t="s">
        <v>182</v>
      </c>
      <c r="C160" s="1" t="s">
        <v>16</v>
      </c>
      <c r="D160" s="1" t="s">
        <v>17</v>
      </c>
      <c r="E160" s="1" t="s">
        <v>18</v>
      </c>
      <c r="F160" s="1" t="s">
        <v>27</v>
      </c>
      <c r="G160" s="1">
        <v>97.03</v>
      </c>
      <c r="H160" s="1">
        <v>5</v>
      </c>
      <c r="I160" s="1">
        <f t="shared" si="6"/>
        <v>24.2575</v>
      </c>
      <c r="J160">
        <f t="shared" si="5"/>
        <v>509.40749999999997</v>
      </c>
    </row>
    <row r="161" spans="1:10" x14ac:dyDescent="0.3">
      <c r="A161" s="1" t="s">
        <v>9</v>
      </c>
      <c r="B161" s="1" t="s">
        <v>183</v>
      </c>
      <c r="C161" s="1" t="s">
        <v>11</v>
      </c>
      <c r="D161" s="1" t="s">
        <v>12</v>
      </c>
      <c r="E161" s="1" t="s">
        <v>18</v>
      </c>
      <c r="F161" s="1" t="s">
        <v>29</v>
      </c>
      <c r="G161" s="1">
        <v>77.930000000000007</v>
      </c>
      <c r="H161" s="1">
        <v>9</v>
      </c>
      <c r="I161" s="1">
        <f t="shared" si="6"/>
        <v>35.068500000000007</v>
      </c>
      <c r="J161">
        <f t="shared" si="5"/>
        <v>736.43850000000009</v>
      </c>
    </row>
    <row r="162" spans="1:10" x14ac:dyDescent="0.3">
      <c r="A162" s="1" t="s">
        <v>9</v>
      </c>
      <c r="B162" s="1" t="s">
        <v>184</v>
      </c>
      <c r="C162" s="1" t="s">
        <v>16</v>
      </c>
      <c r="D162" s="1" t="s">
        <v>17</v>
      </c>
      <c r="E162" s="1" t="s">
        <v>13</v>
      </c>
      <c r="F162" s="1" t="s">
        <v>22</v>
      </c>
      <c r="G162" s="1">
        <v>89.25</v>
      </c>
      <c r="H162" s="1">
        <v>8</v>
      </c>
      <c r="I162" s="1">
        <f t="shared" si="6"/>
        <v>35.700000000000003</v>
      </c>
      <c r="J162">
        <f t="shared" si="5"/>
        <v>749.7</v>
      </c>
    </row>
    <row r="163" spans="1:10" x14ac:dyDescent="0.3">
      <c r="A163" s="1" t="s">
        <v>9</v>
      </c>
      <c r="B163" s="1" t="s">
        <v>185</v>
      </c>
      <c r="C163" s="1" t="s">
        <v>25</v>
      </c>
      <c r="D163" s="1" t="s">
        <v>26</v>
      </c>
      <c r="E163" s="1" t="s">
        <v>18</v>
      </c>
      <c r="F163" s="1" t="s">
        <v>14</v>
      </c>
      <c r="G163" s="1">
        <v>13.5</v>
      </c>
      <c r="H163" s="1">
        <v>10</v>
      </c>
      <c r="I163" s="1">
        <f t="shared" si="6"/>
        <v>6.75</v>
      </c>
      <c r="J163">
        <f t="shared" si="5"/>
        <v>141.75</v>
      </c>
    </row>
    <row r="164" spans="1:10" x14ac:dyDescent="0.3">
      <c r="A164" s="1" t="s">
        <v>9</v>
      </c>
      <c r="B164" s="1" t="s">
        <v>186</v>
      </c>
      <c r="C164" s="1" t="s">
        <v>16</v>
      </c>
      <c r="D164" s="1" t="s">
        <v>17</v>
      </c>
      <c r="E164" s="1" t="s">
        <v>13</v>
      </c>
      <c r="F164" s="1" t="s">
        <v>29</v>
      </c>
      <c r="G164" s="1">
        <v>99.3</v>
      </c>
      <c r="H164" s="1">
        <v>10</v>
      </c>
      <c r="I164" s="1">
        <f t="shared" si="6"/>
        <v>49.650000000000006</v>
      </c>
      <c r="J164">
        <f t="shared" si="5"/>
        <v>1042.6500000000001</v>
      </c>
    </row>
    <row r="165" spans="1:10" x14ac:dyDescent="0.3">
      <c r="A165" s="1" t="s">
        <v>9</v>
      </c>
      <c r="B165" s="1" t="s">
        <v>187</v>
      </c>
      <c r="C165" s="1" t="s">
        <v>25</v>
      </c>
      <c r="D165" s="1" t="s">
        <v>26</v>
      </c>
      <c r="E165" s="1" t="s">
        <v>13</v>
      </c>
      <c r="F165" s="1" t="s">
        <v>29</v>
      </c>
      <c r="G165" s="1">
        <v>54.73</v>
      </c>
      <c r="H165" s="1">
        <v>7</v>
      </c>
      <c r="I165" s="1">
        <f t="shared" si="6"/>
        <v>19.1555</v>
      </c>
      <c r="J165">
        <f t="shared" si="5"/>
        <v>402.26549999999997</v>
      </c>
    </row>
    <row r="166" spans="1:10" x14ac:dyDescent="0.3">
      <c r="A166" s="1" t="s">
        <v>9</v>
      </c>
      <c r="B166" s="1" t="s">
        <v>188</v>
      </c>
      <c r="C166" s="1" t="s">
        <v>16</v>
      </c>
      <c r="D166" s="1" t="s">
        <v>17</v>
      </c>
      <c r="E166" s="1" t="s">
        <v>18</v>
      </c>
      <c r="F166" s="1" t="s">
        <v>19</v>
      </c>
      <c r="G166" s="1">
        <v>30.24</v>
      </c>
      <c r="H166" s="1">
        <v>1</v>
      </c>
      <c r="I166" s="1">
        <f t="shared" si="6"/>
        <v>1.512</v>
      </c>
      <c r="J166">
        <f t="shared" si="5"/>
        <v>31.751999999999999</v>
      </c>
    </row>
    <row r="167" spans="1:10" x14ac:dyDescent="0.3">
      <c r="A167" s="1" t="s">
        <v>9</v>
      </c>
      <c r="B167" s="1" t="s">
        <v>189</v>
      </c>
      <c r="C167" s="1" t="s">
        <v>25</v>
      </c>
      <c r="D167" s="1" t="s">
        <v>26</v>
      </c>
      <c r="E167" s="1" t="s">
        <v>13</v>
      </c>
      <c r="F167" s="1" t="s">
        <v>27</v>
      </c>
      <c r="G167" s="1">
        <v>89.14</v>
      </c>
      <c r="H167" s="1">
        <v>4</v>
      </c>
      <c r="I167" s="1">
        <f t="shared" si="6"/>
        <v>17.827999999999999</v>
      </c>
      <c r="J167">
        <f t="shared" si="5"/>
        <v>374.38799999999998</v>
      </c>
    </row>
    <row r="168" spans="1:10" x14ac:dyDescent="0.3">
      <c r="A168" s="1" t="s">
        <v>9</v>
      </c>
      <c r="B168" s="1" t="s">
        <v>190</v>
      </c>
      <c r="C168" s="1" t="s">
        <v>16</v>
      </c>
      <c r="D168" s="1" t="s">
        <v>17</v>
      </c>
      <c r="E168" s="1" t="s">
        <v>18</v>
      </c>
      <c r="F168" s="1" t="s">
        <v>29</v>
      </c>
      <c r="G168" s="1">
        <v>37.549999999999997</v>
      </c>
      <c r="H168" s="1">
        <v>10</v>
      </c>
      <c r="I168" s="1">
        <f t="shared" si="6"/>
        <v>18.775000000000002</v>
      </c>
      <c r="J168">
        <f t="shared" si="5"/>
        <v>394.27499999999998</v>
      </c>
    </row>
    <row r="169" spans="1:10" x14ac:dyDescent="0.3">
      <c r="A169" s="1" t="s">
        <v>9</v>
      </c>
      <c r="B169" s="1" t="s">
        <v>191</v>
      </c>
      <c r="C169" s="1" t="s">
        <v>16</v>
      </c>
      <c r="D169" s="1" t="s">
        <v>17</v>
      </c>
      <c r="E169" s="1" t="s">
        <v>18</v>
      </c>
      <c r="F169" s="1" t="s">
        <v>33</v>
      </c>
      <c r="G169" s="1">
        <v>95.44</v>
      </c>
      <c r="H169" s="1">
        <v>10</v>
      </c>
      <c r="I169" s="1">
        <f t="shared" si="6"/>
        <v>47.72</v>
      </c>
      <c r="J169">
        <f t="shared" si="5"/>
        <v>1002.12</v>
      </c>
    </row>
    <row r="170" spans="1:10" x14ac:dyDescent="0.3">
      <c r="A170" s="1" t="s">
        <v>9</v>
      </c>
      <c r="B170" s="1" t="s">
        <v>192</v>
      </c>
      <c r="C170" s="1" t="s">
        <v>16</v>
      </c>
      <c r="D170" s="1" t="s">
        <v>17</v>
      </c>
      <c r="E170" s="1" t="s">
        <v>18</v>
      </c>
      <c r="F170" s="1" t="s">
        <v>27</v>
      </c>
      <c r="G170" s="1">
        <v>94.47</v>
      </c>
      <c r="H170" s="1">
        <v>8</v>
      </c>
      <c r="I170" s="1">
        <f t="shared" si="6"/>
        <v>37.788000000000004</v>
      </c>
      <c r="J170">
        <f t="shared" si="5"/>
        <v>793.548</v>
      </c>
    </row>
    <row r="171" spans="1:10" x14ac:dyDescent="0.3">
      <c r="A171" s="1" t="s">
        <v>9</v>
      </c>
      <c r="B171" s="1" t="s">
        <v>193</v>
      </c>
      <c r="C171" s="1" t="s">
        <v>16</v>
      </c>
      <c r="D171" s="1" t="s">
        <v>17</v>
      </c>
      <c r="E171" s="1" t="s">
        <v>18</v>
      </c>
      <c r="F171" s="1" t="s">
        <v>27</v>
      </c>
      <c r="G171" s="1">
        <v>41.24</v>
      </c>
      <c r="H171" s="1">
        <v>4</v>
      </c>
      <c r="I171" s="1">
        <f t="shared" si="6"/>
        <v>8.2480000000000011</v>
      </c>
      <c r="J171">
        <f t="shared" si="5"/>
        <v>173.208</v>
      </c>
    </row>
    <row r="172" spans="1:10" x14ac:dyDescent="0.3">
      <c r="A172" s="1" t="s">
        <v>9</v>
      </c>
      <c r="B172" s="1" t="s">
        <v>194</v>
      </c>
      <c r="C172" s="1" t="s">
        <v>16</v>
      </c>
      <c r="D172" s="1" t="s">
        <v>17</v>
      </c>
      <c r="E172" s="1" t="s">
        <v>18</v>
      </c>
      <c r="F172" s="1" t="s">
        <v>29</v>
      </c>
      <c r="G172" s="1">
        <v>81.680000000000007</v>
      </c>
      <c r="H172" s="1">
        <v>4</v>
      </c>
      <c r="I172" s="1">
        <f t="shared" si="6"/>
        <v>16.336000000000002</v>
      </c>
      <c r="J172">
        <f t="shared" si="5"/>
        <v>343.05600000000004</v>
      </c>
    </row>
    <row r="173" spans="1:10" x14ac:dyDescent="0.3">
      <c r="A173" s="1" t="s">
        <v>9</v>
      </c>
      <c r="B173" s="1" t="s">
        <v>195</v>
      </c>
      <c r="C173" s="1" t="s">
        <v>16</v>
      </c>
      <c r="D173" s="1" t="s">
        <v>17</v>
      </c>
      <c r="E173" s="1" t="s">
        <v>18</v>
      </c>
      <c r="F173" s="1" t="s">
        <v>19</v>
      </c>
      <c r="G173" s="1">
        <v>51.32</v>
      </c>
      <c r="H173" s="1">
        <v>9</v>
      </c>
      <c r="I173" s="1">
        <f t="shared" si="6"/>
        <v>23.094000000000001</v>
      </c>
      <c r="J173">
        <f t="shared" si="5"/>
        <v>484.97399999999999</v>
      </c>
    </row>
    <row r="174" spans="1:10" x14ac:dyDescent="0.3">
      <c r="A174" s="1" t="s">
        <v>9</v>
      </c>
      <c r="B174" s="1" t="s">
        <v>196</v>
      </c>
      <c r="C174" s="1" t="s">
        <v>16</v>
      </c>
      <c r="D174" s="1" t="s">
        <v>17</v>
      </c>
      <c r="E174" s="1" t="s">
        <v>18</v>
      </c>
      <c r="F174" s="1" t="s">
        <v>33</v>
      </c>
      <c r="G174" s="1">
        <v>14.36</v>
      </c>
      <c r="H174" s="1">
        <v>10</v>
      </c>
      <c r="I174" s="1">
        <f t="shared" si="6"/>
        <v>7.18</v>
      </c>
      <c r="J174">
        <f t="shared" si="5"/>
        <v>150.78</v>
      </c>
    </row>
    <row r="175" spans="1:10" x14ac:dyDescent="0.3">
      <c r="A175" s="1" t="s">
        <v>9</v>
      </c>
      <c r="B175" s="1" t="s">
        <v>197</v>
      </c>
      <c r="C175" s="1" t="s">
        <v>25</v>
      </c>
      <c r="D175" s="1" t="s">
        <v>26</v>
      </c>
      <c r="E175" s="1" t="s">
        <v>13</v>
      </c>
      <c r="F175" s="1" t="s">
        <v>19</v>
      </c>
      <c r="G175" s="1">
        <v>26.26</v>
      </c>
      <c r="H175" s="1">
        <v>7</v>
      </c>
      <c r="I175" s="1">
        <f t="shared" si="6"/>
        <v>9.1910000000000007</v>
      </c>
      <c r="J175">
        <f t="shared" si="5"/>
        <v>193.01100000000002</v>
      </c>
    </row>
    <row r="176" spans="1:10" x14ac:dyDescent="0.3">
      <c r="A176" s="1" t="s">
        <v>9</v>
      </c>
      <c r="B176" s="1" t="s">
        <v>198</v>
      </c>
      <c r="C176" s="1" t="s">
        <v>25</v>
      </c>
      <c r="D176" s="1" t="s">
        <v>26</v>
      </c>
      <c r="E176" s="1" t="s">
        <v>18</v>
      </c>
      <c r="F176" s="1" t="s">
        <v>29</v>
      </c>
      <c r="G176" s="1">
        <v>60.96</v>
      </c>
      <c r="H176" s="1">
        <v>2</v>
      </c>
      <c r="I176" s="1">
        <f t="shared" si="6"/>
        <v>6.0960000000000001</v>
      </c>
      <c r="J176">
        <f t="shared" si="5"/>
        <v>128.01599999999999</v>
      </c>
    </row>
    <row r="177" spans="1:10" x14ac:dyDescent="0.3">
      <c r="A177" s="1" t="s">
        <v>9</v>
      </c>
      <c r="B177" s="1" t="s">
        <v>199</v>
      </c>
      <c r="C177" s="1" t="s">
        <v>16</v>
      </c>
      <c r="D177" s="1" t="s">
        <v>17</v>
      </c>
      <c r="E177" s="1" t="s">
        <v>18</v>
      </c>
      <c r="F177" s="1" t="s">
        <v>22</v>
      </c>
      <c r="G177" s="1">
        <v>70.11</v>
      </c>
      <c r="H177" s="1">
        <v>6</v>
      </c>
      <c r="I177" s="1">
        <f t="shared" si="6"/>
        <v>21.033000000000001</v>
      </c>
      <c r="J177">
        <f t="shared" si="5"/>
        <v>441.69299999999998</v>
      </c>
    </row>
    <row r="178" spans="1:10" x14ac:dyDescent="0.3">
      <c r="A178" s="1" t="s">
        <v>9</v>
      </c>
      <c r="B178" s="1" t="s">
        <v>200</v>
      </c>
      <c r="C178" s="1" t="s">
        <v>11</v>
      </c>
      <c r="D178" s="1" t="s">
        <v>12</v>
      </c>
      <c r="E178" s="1" t="s">
        <v>18</v>
      </c>
      <c r="F178" s="1" t="s">
        <v>22</v>
      </c>
      <c r="G178" s="1">
        <v>67.09</v>
      </c>
      <c r="H178" s="1">
        <v>5</v>
      </c>
      <c r="I178" s="1">
        <f t="shared" si="6"/>
        <v>16.772500000000004</v>
      </c>
      <c r="J178">
        <f t="shared" si="5"/>
        <v>352.22250000000003</v>
      </c>
    </row>
    <row r="179" spans="1:10" x14ac:dyDescent="0.3">
      <c r="A179" s="1" t="s">
        <v>9</v>
      </c>
      <c r="B179" s="1" t="s">
        <v>201</v>
      </c>
      <c r="C179" s="1" t="s">
        <v>11</v>
      </c>
      <c r="D179" s="1" t="s">
        <v>12</v>
      </c>
      <c r="E179" s="1" t="s">
        <v>13</v>
      </c>
      <c r="F179" s="1" t="s">
        <v>29</v>
      </c>
      <c r="G179" s="1">
        <v>96.7</v>
      </c>
      <c r="H179" s="1">
        <v>5</v>
      </c>
      <c r="I179" s="1">
        <f t="shared" si="6"/>
        <v>24.175000000000001</v>
      </c>
      <c r="J179">
        <f t="shared" si="5"/>
        <v>507.67500000000001</v>
      </c>
    </row>
    <row r="180" spans="1:10" x14ac:dyDescent="0.3">
      <c r="A180" s="1" t="s">
        <v>9</v>
      </c>
      <c r="B180" s="1" t="s">
        <v>202</v>
      </c>
      <c r="C180" s="1" t="s">
        <v>25</v>
      </c>
      <c r="D180" s="1" t="s">
        <v>26</v>
      </c>
      <c r="E180" s="1" t="s">
        <v>13</v>
      </c>
      <c r="F180" s="1" t="s">
        <v>22</v>
      </c>
      <c r="G180" s="1">
        <v>35.380000000000003</v>
      </c>
      <c r="H180" s="1">
        <v>9</v>
      </c>
      <c r="I180" s="1">
        <f t="shared" si="6"/>
        <v>15.921000000000001</v>
      </c>
      <c r="J180">
        <f t="shared" si="5"/>
        <v>334.34100000000001</v>
      </c>
    </row>
    <row r="181" spans="1:10" x14ac:dyDescent="0.3">
      <c r="A181" s="1" t="s">
        <v>9</v>
      </c>
      <c r="B181" s="1" t="s">
        <v>203</v>
      </c>
      <c r="C181" s="1" t="s">
        <v>25</v>
      </c>
      <c r="D181" s="1" t="s">
        <v>26</v>
      </c>
      <c r="E181" s="1" t="s">
        <v>18</v>
      </c>
      <c r="F181" s="1" t="s">
        <v>19</v>
      </c>
      <c r="G181" s="1">
        <v>23.65</v>
      </c>
      <c r="H181" s="1">
        <v>4</v>
      </c>
      <c r="I181" s="1">
        <f t="shared" si="6"/>
        <v>4.7299999999999995</v>
      </c>
      <c r="J181">
        <f t="shared" si="5"/>
        <v>99.33</v>
      </c>
    </row>
    <row r="182" spans="1:10" x14ac:dyDescent="0.3">
      <c r="A182" s="1" t="s">
        <v>9</v>
      </c>
      <c r="B182" s="1" t="s">
        <v>204</v>
      </c>
      <c r="C182" s="1" t="s">
        <v>16</v>
      </c>
      <c r="D182" s="1" t="s">
        <v>17</v>
      </c>
      <c r="E182" s="1" t="s">
        <v>18</v>
      </c>
      <c r="F182" s="1" t="s">
        <v>19</v>
      </c>
      <c r="G182" s="1">
        <v>26.61</v>
      </c>
      <c r="H182" s="1">
        <v>2</v>
      </c>
      <c r="I182" s="1">
        <f t="shared" si="6"/>
        <v>2.661</v>
      </c>
      <c r="J182">
        <f t="shared" si="5"/>
        <v>55.881</v>
      </c>
    </row>
    <row r="183" spans="1:10" x14ac:dyDescent="0.3">
      <c r="A183" s="1" t="s">
        <v>9</v>
      </c>
      <c r="B183" s="1" t="s">
        <v>205</v>
      </c>
      <c r="C183" s="1" t="s">
        <v>25</v>
      </c>
      <c r="D183" s="1" t="s">
        <v>26</v>
      </c>
      <c r="E183" s="1" t="s">
        <v>18</v>
      </c>
      <c r="F183" s="1" t="s">
        <v>27</v>
      </c>
      <c r="G183" s="1">
        <v>99.69</v>
      </c>
      <c r="H183" s="1">
        <v>5</v>
      </c>
      <c r="I183" s="1">
        <f t="shared" si="6"/>
        <v>24.922499999999999</v>
      </c>
      <c r="J183">
        <f t="shared" si="5"/>
        <v>523.37249999999995</v>
      </c>
    </row>
    <row r="184" spans="1:10" x14ac:dyDescent="0.3">
      <c r="A184" s="1" t="s">
        <v>9</v>
      </c>
      <c r="B184" s="1" t="s">
        <v>206</v>
      </c>
      <c r="C184" s="1" t="s">
        <v>16</v>
      </c>
      <c r="D184" s="1" t="s">
        <v>17</v>
      </c>
      <c r="E184" s="1" t="s">
        <v>13</v>
      </c>
      <c r="F184" s="1" t="s">
        <v>27</v>
      </c>
      <c r="G184" s="1">
        <v>74.89</v>
      </c>
      <c r="H184" s="1">
        <v>4</v>
      </c>
      <c r="I184" s="1">
        <f t="shared" si="6"/>
        <v>14.978000000000002</v>
      </c>
      <c r="J184">
        <f t="shared" si="5"/>
        <v>314.53800000000001</v>
      </c>
    </row>
    <row r="185" spans="1:10" x14ac:dyDescent="0.3">
      <c r="A185" s="1" t="s">
        <v>9</v>
      </c>
      <c r="B185" s="1" t="s">
        <v>207</v>
      </c>
      <c r="C185" s="1" t="s">
        <v>11</v>
      </c>
      <c r="D185" s="1" t="s">
        <v>12</v>
      </c>
      <c r="E185" s="1" t="s">
        <v>18</v>
      </c>
      <c r="F185" s="1" t="s">
        <v>27</v>
      </c>
      <c r="G185" s="1">
        <v>40.94</v>
      </c>
      <c r="H185" s="1">
        <v>5</v>
      </c>
      <c r="I185" s="1">
        <f t="shared" si="6"/>
        <v>10.234999999999999</v>
      </c>
      <c r="J185">
        <f t="shared" si="5"/>
        <v>214.935</v>
      </c>
    </row>
    <row r="186" spans="1:10" x14ac:dyDescent="0.3">
      <c r="A186" s="1" t="s">
        <v>9</v>
      </c>
      <c r="B186" s="1" t="s">
        <v>208</v>
      </c>
      <c r="C186" s="1" t="s">
        <v>11</v>
      </c>
      <c r="D186" s="1" t="s">
        <v>12</v>
      </c>
      <c r="E186" s="1" t="s">
        <v>18</v>
      </c>
      <c r="F186" s="1" t="s">
        <v>14</v>
      </c>
      <c r="G186" s="1">
        <v>32.32</v>
      </c>
      <c r="H186" s="1">
        <v>10</v>
      </c>
      <c r="I186" s="1">
        <f t="shared" si="6"/>
        <v>16.16</v>
      </c>
      <c r="J186">
        <f t="shared" si="5"/>
        <v>339.36</v>
      </c>
    </row>
    <row r="187" spans="1:10" x14ac:dyDescent="0.3">
      <c r="A187" s="1" t="s">
        <v>9</v>
      </c>
      <c r="B187" s="1" t="s">
        <v>209</v>
      </c>
      <c r="C187" s="1" t="s">
        <v>16</v>
      </c>
      <c r="D187" s="1" t="s">
        <v>17</v>
      </c>
      <c r="E187" s="1" t="s">
        <v>13</v>
      </c>
      <c r="F187" s="1" t="s">
        <v>29</v>
      </c>
      <c r="G187" s="1">
        <v>54.07</v>
      </c>
      <c r="H187" s="1">
        <v>9</v>
      </c>
      <c r="I187" s="1">
        <f t="shared" si="6"/>
        <v>24.331500000000002</v>
      </c>
      <c r="J187">
        <f t="shared" si="5"/>
        <v>510.9615</v>
      </c>
    </row>
    <row r="188" spans="1:10" x14ac:dyDescent="0.3">
      <c r="A188" s="1" t="s">
        <v>9</v>
      </c>
      <c r="B188" s="1" t="s">
        <v>210</v>
      </c>
      <c r="C188" s="1" t="s">
        <v>16</v>
      </c>
      <c r="D188" s="1" t="s">
        <v>17</v>
      </c>
      <c r="E188" s="1" t="s">
        <v>13</v>
      </c>
      <c r="F188" s="1" t="s">
        <v>29</v>
      </c>
      <c r="G188" s="1">
        <v>80.48</v>
      </c>
      <c r="H188" s="1">
        <v>3</v>
      </c>
      <c r="I188" s="1">
        <f t="shared" si="6"/>
        <v>12.072000000000001</v>
      </c>
      <c r="J188">
        <f t="shared" si="5"/>
        <v>253.512</v>
      </c>
    </row>
    <row r="189" spans="1:10" x14ac:dyDescent="0.3">
      <c r="A189" s="1" t="s">
        <v>9</v>
      </c>
      <c r="B189" s="1" t="s">
        <v>211</v>
      </c>
      <c r="C189" s="1" t="s">
        <v>25</v>
      </c>
      <c r="D189" s="1" t="s">
        <v>26</v>
      </c>
      <c r="E189" s="1" t="s">
        <v>18</v>
      </c>
      <c r="F189" s="1" t="s">
        <v>29</v>
      </c>
      <c r="G189" s="1">
        <v>37.950000000000003</v>
      </c>
      <c r="H189" s="1">
        <v>10</v>
      </c>
      <c r="I189" s="1">
        <f t="shared" si="6"/>
        <v>18.975000000000001</v>
      </c>
      <c r="J189">
        <f t="shared" si="5"/>
        <v>398.47500000000002</v>
      </c>
    </row>
    <row r="190" spans="1:10" x14ac:dyDescent="0.3">
      <c r="A190" s="1" t="s">
        <v>9</v>
      </c>
      <c r="B190" s="1" t="s">
        <v>212</v>
      </c>
      <c r="C190" s="1" t="s">
        <v>11</v>
      </c>
      <c r="D190" s="1" t="s">
        <v>12</v>
      </c>
      <c r="E190" s="1" t="s">
        <v>13</v>
      </c>
      <c r="F190" s="1" t="s">
        <v>33</v>
      </c>
      <c r="G190" s="1">
        <v>52.26</v>
      </c>
      <c r="H190" s="1">
        <v>10</v>
      </c>
      <c r="I190" s="1">
        <f t="shared" si="6"/>
        <v>26.130000000000003</v>
      </c>
      <c r="J190">
        <f t="shared" si="5"/>
        <v>548.73</v>
      </c>
    </row>
    <row r="191" spans="1:10" x14ac:dyDescent="0.3">
      <c r="A191" s="1" t="s">
        <v>9</v>
      </c>
      <c r="B191" s="1" t="s">
        <v>213</v>
      </c>
      <c r="C191" s="1" t="s">
        <v>11</v>
      </c>
      <c r="D191" s="1" t="s">
        <v>12</v>
      </c>
      <c r="E191" s="1" t="s">
        <v>18</v>
      </c>
      <c r="F191" s="1" t="s">
        <v>14</v>
      </c>
      <c r="G191" s="1">
        <v>79.739999999999995</v>
      </c>
      <c r="H191" s="1">
        <v>1</v>
      </c>
      <c r="I191" s="1">
        <f t="shared" si="6"/>
        <v>3.9870000000000001</v>
      </c>
      <c r="J191">
        <f t="shared" si="5"/>
        <v>83.72699999999999</v>
      </c>
    </row>
    <row r="192" spans="1:10" x14ac:dyDescent="0.3">
      <c r="A192" s="1" t="s">
        <v>9</v>
      </c>
      <c r="B192" s="1" t="s">
        <v>214</v>
      </c>
      <c r="C192" s="1" t="s">
        <v>11</v>
      </c>
      <c r="D192" s="1" t="s">
        <v>12</v>
      </c>
      <c r="E192" s="1" t="s">
        <v>18</v>
      </c>
      <c r="F192" s="1" t="s">
        <v>14</v>
      </c>
      <c r="G192" s="1">
        <v>77.5</v>
      </c>
      <c r="H192" s="1">
        <v>5</v>
      </c>
      <c r="I192" s="1">
        <f t="shared" si="6"/>
        <v>19.375</v>
      </c>
      <c r="J192">
        <f t="shared" si="5"/>
        <v>406.875</v>
      </c>
    </row>
    <row r="193" spans="1:10" x14ac:dyDescent="0.3">
      <c r="A193" s="1" t="s">
        <v>9</v>
      </c>
      <c r="B193" s="1" t="s">
        <v>215</v>
      </c>
      <c r="C193" s="1" t="s">
        <v>11</v>
      </c>
      <c r="D193" s="1" t="s">
        <v>12</v>
      </c>
      <c r="E193" s="1" t="s">
        <v>18</v>
      </c>
      <c r="F193" s="1" t="s">
        <v>27</v>
      </c>
      <c r="G193" s="1">
        <v>54.27</v>
      </c>
      <c r="H193" s="1">
        <v>5</v>
      </c>
      <c r="I193" s="1">
        <f t="shared" si="6"/>
        <v>13.567500000000003</v>
      </c>
      <c r="J193">
        <f t="shared" si="5"/>
        <v>284.91750000000002</v>
      </c>
    </row>
    <row r="194" spans="1:10" x14ac:dyDescent="0.3">
      <c r="A194" s="1" t="s">
        <v>9</v>
      </c>
      <c r="B194" s="1" t="s">
        <v>216</v>
      </c>
      <c r="C194" s="1" t="s">
        <v>25</v>
      </c>
      <c r="D194" s="1" t="s">
        <v>26</v>
      </c>
      <c r="E194" s="1" t="s">
        <v>13</v>
      </c>
      <c r="F194" s="1" t="s">
        <v>14</v>
      </c>
      <c r="G194" s="1">
        <v>41.06</v>
      </c>
      <c r="H194" s="1">
        <v>6</v>
      </c>
      <c r="I194" s="1">
        <f t="shared" si="6"/>
        <v>12.318000000000001</v>
      </c>
      <c r="J194">
        <f t="shared" si="5"/>
        <v>258.678</v>
      </c>
    </row>
    <row r="195" spans="1:10" x14ac:dyDescent="0.3">
      <c r="A195" s="1" t="s">
        <v>9</v>
      </c>
      <c r="B195" s="1" t="s">
        <v>217</v>
      </c>
      <c r="C195" s="1" t="s">
        <v>16</v>
      </c>
      <c r="D195" s="1" t="s">
        <v>17</v>
      </c>
      <c r="E195" s="1" t="s">
        <v>18</v>
      </c>
      <c r="F195" s="1" t="s">
        <v>27</v>
      </c>
      <c r="G195" s="1">
        <v>39.43</v>
      </c>
      <c r="H195" s="1">
        <v>6</v>
      </c>
      <c r="I195" s="1">
        <f t="shared" si="6"/>
        <v>11.829000000000001</v>
      </c>
      <c r="J195">
        <f t="shared" ref="J195:J258" si="7">(G195*H195)+I195</f>
        <v>248.40899999999999</v>
      </c>
    </row>
    <row r="196" spans="1:10" x14ac:dyDescent="0.3">
      <c r="A196" s="1" t="s">
        <v>9</v>
      </c>
      <c r="B196" s="1" t="s">
        <v>218</v>
      </c>
      <c r="C196" s="1" t="s">
        <v>25</v>
      </c>
      <c r="D196" s="1" t="s">
        <v>26</v>
      </c>
      <c r="E196" s="1" t="s">
        <v>18</v>
      </c>
      <c r="F196" s="1" t="s">
        <v>29</v>
      </c>
      <c r="G196" s="1">
        <v>39.75</v>
      </c>
      <c r="H196" s="1">
        <v>5</v>
      </c>
      <c r="I196" s="1">
        <f t="shared" si="6"/>
        <v>9.9375</v>
      </c>
      <c r="J196">
        <f t="shared" si="7"/>
        <v>208.6875</v>
      </c>
    </row>
    <row r="197" spans="1:10" x14ac:dyDescent="0.3">
      <c r="A197" s="1" t="s">
        <v>9</v>
      </c>
      <c r="B197" s="1" t="s">
        <v>219</v>
      </c>
      <c r="C197" s="1" t="s">
        <v>16</v>
      </c>
      <c r="D197" s="1" t="s">
        <v>17</v>
      </c>
      <c r="E197" s="1" t="s">
        <v>13</v>
      </c>
      <c r="F197" s="1" t="s">
        <v>29</v>
      </c>
      <c r="G197" s="1">
        <v>97.79</v>
      </c>
      <c r="H197" s="1">
        <v>7</v>
      </c>
      <c r="I197" s="1">
        <f t="shared" si="6"/>
        <v>34.226500000000009</v>
      </c>
      <c r="J197">
        <f t="shared" si="7"/>
        <v>718.75650000000007</v>
      </c>
    </row>
    <row r="198" spans="1:10" x14ac:dyDescent="0.3">
      <c r="A198" s="1" t="s">
        <v>9</v>
      </c>
      <c r="B198" s="1" t="s">
        <v>220</v>
      </c>
      <c r="C198" s="1" t="s">
        <v>25</v>
      </c>
      <c r="D198" s="1" t="s">
        <v>26</v>
      </c>
      <c r="E198" s="1" t="s">
        <v>13</v>
      </c>
      <c r="F198" s="1" t="s">
        <v>29</v>
      </c>
      <c r="G198" s="1">
        <v>68.709999999999994</v>
      </c>
      <c r="H198" s="1">
        <v>4</v>
      </c>
      <c r="I198" s="1">
        <f t="shared" si="6"/>
        <v>13.741999999999999</v>
      </c>
      <c r="J198">
        <f t="shared" si="7"/>
        <v>288.58199999999999</v>
      </c>
    </row>
    <row r="199" spans="1:10" x14ac:dyDescent="0.3">
      <c r="A199" s="1" t="s">
        <v>9</v>
      </c>
      <c r="B199" s="1" t="s">
        <v>221</v>
      </c>
      <c r="C199" s="1" t="s">
        <v>11</v>
      </c>
      <c r="D199" s="1" t="s">
        <v>12</v>
      </c>
      <c r="E199" s="1" t="s">
        <v>18</v>
      </c>
      <c r="F199" s="1" t="s">
        <v>22</v>
      </c>
      <c r="G199" s="1">
        <v>56.53</v>
      </c>
      <c r="H199" s="1">
        <v>4</v>
      </c>
      <c r="I199" s="1">
        <f t="shared" si="6"/>
        <v>11.306000000000001</v>
      </c>
      <c r="J199">
        <f t="shared" si="7"/>
        <v>237.42600000000002</v>
      </c>
    </row>
    <row r="200" spans="1:10" x14ac:dyDescent="0.3">
      <c r="A200" s="1" t="s">
        <v>9</v>
      </c>
      <c r="B200" s="1" t="s">
        <v>222</v>
      </c>
      <c r="C200" s="1" t="s">
        <v>16</v>
      </c>
      <c r="D200" s="1" t="s">
        <v>17</v>
      </c>
      <c r="E200" s="1" t="s">
        <v>18</v>
      </c>
      <c r="F200" s="1" t="s">
        <v>29</v>
      </c>
      <c r="G200" s="1">
        <v>23.82</v>
      </c>
      <c r="H200" s="1">
        <v>5</v>
      </c>
      <c r="I200" s="1">
        <f t="shared" si="6"/>
        <v>5.9550000000000001</v>
      </c>
      <c r="J200">
        <f t="shared" si="7"/>
        <v>125.05499999999999</v>
      </c>
    </row>
    <row r="201" spans="1:10" x14ac:dyDescent="0.3">
      <c r="A201" s="1" t="s">
        <v>9</v>
      </c>
      <c r="B201" s="1" t="s">
        <v>223</v>
      </c>
      <c r="C201" s="1" t="s">
        <v>25</v>
      </c>
      <c r="D201" s="1" t="s">
        <v>26</v>
      </c>
      <c r="E201" s="1" t="s">
        <v>18</v>
      </c>
      <c r="F201" s="1" t="s">
        <v>14</v>
      </c>
      <c r="G201" s="1">
        <v>34.21</v>
      </c>
      <c r="H201" s="1">
        <v>10</v>
      </c>
      <c r="I201" s="1">
        <f t="shared" si="6"/>
        <v>17.105</v>
      </c>
      <c r="J201">
        <f t="shared" si="7"/>
        <v>359.20500000000004</v>
      </c>
    </row>
    <row r="202" spans="1:10" x14ac:dyDescent="0.3">
      <c r="A202" s="1" t="s">
        <v>9</v>
      </c>
      <c r="B202" s="1" t="s">
        <v>224</v>
      </c>
      <c r="C202" s="1" t="s">
        <v>16</v>
      </c>
      <c r="D202" s="1" t="s">
        <v>17</v>
      </c>
      <c r="E202" s="1" t="s">
        <v>18</v>
      </c>
      <c r="F202" s="1" t="s">
        <v>22</v>
      </c>
      <c r="G202" s="1">
        <v>45.38</v>
      </c>
      <c r="H202" s="1">
        <v>4</v>
      </c>
      <c r="I202" s="1">
        <f t="shared" si="6"/>
        <v>9.0760000000000005</v>
      </c>
      <c r="J202">
        <f t="shared" si="7"/>
        <v>190.596</v>
      </c>
    </row>
    <row r="203" spans="1:10" x14ac:dyDescent="0.3">
      <c r="A203" s="1" t="s">
        <v>9</v>
      </c>
      <c r="B203" s="1" t="s">
        <v>225</v>
      </c>
      <c r="C203" s="1" t="s">
        <v>16</v>
      </c>
      <c r="D203" s="1" t="s">
        <v>17</v>
      </c>
      <c r="E203" s="1" t="s">
        <v>13</v>
      </c>
      <c r="F203" s="1" t="s">
        <v>14</v>
      </c>
      <c r="G203" s="1">
        <v>81.510000000000005</v>
      </c>
      <c r="H203" s="1">
        <v>1</v>
      </c>
      <c r="I203" s="1">
        <f t="shared" si="6"/>
        <v>4.0755000000000008</v>
      </c>
      <c r="J203">
        <f t="shared" si="7"/>
        <v>85.58550000000001</v>
      </c>
    </row>
    <row r="204" spans="1:10" x14ac:dyDescent="0.3">
      <c r="A204" s="1" t="s">
        <v>9</v>
      </c>
      <c r="B204" s="1" t="s">
        <v>226</v>
      </c>
      <c r="C204" s="1" t="s">
        <v>25</v>
      </c>
      <c r="D204" s="1" t="s">
        <v>26</v>
      </c>
      <c r="E204" s="1" t="s">
        <v>18</v>
      </c>
      <c r="F204" s="1" t="s">
        <v>14</v>
      </c>
      <c r="G204" s="1">
        <v>57.22</v>
      </c>
      <c r="H204" s="1">
        <v>2</v>
      </c>
      <c r="I204" s="1">
        <f t="shared" si="6"/>
        <v>5.7220000000000004</v>
      </c>
      <c r="J204">
        <f t="shared" si="7"/>
        <v>120.16199999999999</v>
      </c>
    </row>
    <row r="205" spans="1:10" x14ac:dyDescent="0.3">
      <c r="A205" s="1" t="s">
        <v>9</v>
      </c>
      <c r="B205" s="1" t="s">
        <v>227</v>
      </c>
      <c r="C205" s="1" t="s">
        <v>11</v>
      </c>
      <c r="D205" s="1" t="s">
        <v>12</v>
      </c>
      <c r="E205" s="1" t="s">
        <v>13</v>
      </c>
      <c r="F205" s="1" t="s">
        <v>19</v>
      </c>
      <c r="G205" s="1">
        <v>25.22</v>
      </c>
      <c r="H205" s="1">
        <v>7</v>
      </c>
      <c r="I205" s="1">
        <f t="shared" si="6"/>
        <v>8.827</v>
      </c>
      <c r="J205">
        <f t="shared" si="7"/>
        <v>185.36699999999999</v>
      </c>
    </row>
    <row r="206" spans="1:10" x14ac:dyDescent="0.3">
      <c r="A206" s="1" t="s">
        <v>9</v>
      </c>
      <c r="B206" s="1" t="s">
        <v>228</v>
      </c>
      <c r="C206" s="1" t="s">
        <v>16</v>
      </c>
      <c r="D206" s="1" t="s">
        <v>17</v>
      </c>
      <c r="E206" s="1" t="s">
        <v>13</v>
      </c>
      <c r="F206" s="1" t="s">
        <v>27</v>
      </c>
      <c r="G206" s="1">
        <v>38.6</v>
      </c>
      <c r="H206" s="1">
        <v>3</v>
      </c>
      <c r="I206" s="1">
        <f t="shared" si="6"/>
        <v>5.7900000000000009</v>
      </c>
      <c r="J206">
        <f t="shared" si="7"/>
        <v>121.59000000000002</v>
      </c>
    </row>
    <row r="207" spans="1:10" x14ac:dyDescent="0.3">
      <c r="A207" s="1" t="s">
        <v>9</v>
      </c>
      <c r="B207" s="1" t="s">
        <v>229</v>
      </c>
      <c r="C207" s="1" t="s">
        <v>16</v>
      </c>
      <c r="D207" s="1" t="s">
        <v>17</v>
      </c>
      <c r="E207" s="1" t="s">
        <v>18</v>
      </c>
      <c r="F207" s="1" t="s">
        <v>19</v>
      </c>
      <c r="G207" s="1">
        <v>84.05</v>
      </c>
      <c r="H207" s="1">
        <v>3</v>
      </c>
      <c r="I207" s="1">
        <f t="shared" si="6"/>
        <v>12.6075</v>
      </c>
      <c r="J207">
        <f t="shared" si="7"/>
        <v>264.75749999999999</v>
      </c>
    </row>
    <row r="208" spans="1:10" x14ac:dyDescent="0.3">
      <c r="A208" s="1" t="s">
        <v>9</v>
      </c>
      <c r="B208" s="1" t="s">
        <v>230</v>
      </c>
      <c r="C208" s="1" t="s">
        <v>16</v>
      </c>
      <c r="D208" s="1" t="s">
        <v>17</v>
      </c>
      <c r="E208" s="1" t="s">
        <v>13</v>
      </c>
      <c r="F208" s="1" t="s">
        <v>29</v>
      </c>
      <c r="G208" s="1">
        <v>97.21</v>
      </c>
      <c r="H208" s="1">
        <v>10</v>
      </c>
      <c r="I208" s="1">
        <f t="shared" si="6"/>
        <v>48.604999999999997</v>
      </c>
      <c r="J208">
        <f t="shared" si="7"/>
        <v>1020.7049999999999</v>
      </c>
    </row>
    <row r="209" spans="1:10" x14ac:dyDescent="0.3">
      <c r="A209" s="1" t="s">
        <v>9</v>
      </c>
      <c r="B209" s="1" t="s">
        <v>231</v>
      </c>
      <c r="C209" s="1" t="s">
        <v>25</v>
      </c>
      <c r="D209" s="1" t="s">
        <v>26</v>
      </c>
      <c r="E209" s="1" t="s">
        <v>13</v>
      </c>
      <c r="F209" s="1" t="s">
        <v>27</v>
      </c>
      <c r="G209" s="1">
        <v>20.87</v>
      </c>
      <c r="H209" s="1">
        <v>3</v>
      </c>
      <c r="I209" s="1">
        <f t="shared" si="6"/>
        <v>3.1305000000000001</v>
      </c>
      <c r="J209">
        <f t="shared" si="7"/>
        <v>65.740499999999997</v>
      </c>
    </row>
    <row r="210" spans="1:10" x14ac:dyDescent="0.3">
      <c r="A210" s="1" t="s">
        <v>9</v>
      </c>
      <c r="B210" s="1" t="s">
        <v>232</v>
      </c>
      <c r="C210" s="1" t="s">
        <v>11</v>
      </c>
      <c r="D210" s="1" t="s">
        <v>12</v>
      </c>
      <c r="E210" s="1" t="s">
        <v>13</v>
      </c>
      <c r="F210" s="1" t="s">
        <v>22</v>
      </c>
      <c r="G210" s="1">
        <v>90.65</v>
      </c>
      <c r="H210" s="1">
        <v>10</v>
      </c>
      <c r="I210" s="1">
        <f t="shared" si="6"/>
        <v>45.325000000000003</v>
      </c>
      <c r="J210">
        <f t="shared" si="7"/>
        <v>951.82500000000005</v>
      </c>
    </row>
    <row r="211" spans="1:10" x14ac:dyDescent="0.3">
      <c r="A211" s="1" t="s">
        <v>9</v>
      </c>
      <c r="B211" s="1" t="s">
        <v>233</v>
      </c>
      <c r="C211" s="1" t="s">
        <v>11</v>
      </c>
      <c r="D211" s="1" t="s">
        <v>12</v>
      </c>
      <c r="E211" s="1" t="s">
        <v>18</v>
      </c>
      <c r="F211" s="1" t="s">
        <v>19</v>
      </c>
      <c r="G211" s="1">
        <v>23.46</v>
      </c>
      <c r="H211" s="1">
        <v>6</v>
      </c>
      <c r="I211" s="1">
        <f t="shared" si="6"/>
        <v>7.0380000000000003</v>
      </c>
      <c r="J211">
        <f t="shared" si="7"/>
        <v>147.798</v>
      </c>
    </row>
    <row r="212" spans="1:10" x14ac:dyDescent="0.3">
      <c r="A212" s="1" t="s">
        <v>9</v>
      </c>
      <c r="B212" s="1" t="s">
        <v>234</v>
      </c>
      <c r="C212" s="1" t="s">
        <v>25</v>
      </c>
      <c r="D212" s="1" t="s">
        <v>26</v>
      </c>
      <c r="E212" s="1" t="s">
        <v>18</v>
      </c>
      <c r="F212" s="1" t="s">
        <v>29</v>
      </c>
      <c r="G212" s="1">
        <v>47.44</v>
      </c>
      <c r="H212" s="1">
        <v>1</v>
      </c>
      <c r="I212" s="1">
        <f t="shared" si="6"/>
        <v>2.3719999999999999</v>
      </c>
      <c r="J212">
        <f t="shared" si="7"/>
        <v>49.811999999999998</v>
      </c>
    </row>
    <row r="213" spans="1:10" x14ac:dyDescent="0.3">
      <c r="A213" s="1" t="s">
        <v>9</v>
      </c>
      <c r="B213" s="1" t="s">
        <v>235</v>
      </c>
      <c r="C213" s="1" t="s">
        <v>16</v>
      </c>
      <c r="D213" s="1" t="s">
        <v>17</v>
      </c>
      <c r="E213" s="1" t="s">
        <v>18</v>
      </c>
      <c r="F213" s="1" t="s">
        <v>19</v>
      </c>
      <c r="G213" s="1">
        <v>40.86</v>
      </c>
      <c r="H213" s="1">
        <v>8</v>
      </c>
      <c r="I213" s="1">
        <f t="shared" si="6"/>
        <v>16.344000000000001</v>
      </c>
      <c r="J213">
        <f t="shared" si="7"/>
        <v>343.22399999999999</v>
      </c>
    </row>
    <row r="214" spans="1:10" x14ac:dyDescent="0.3">
      <c r="A214" s="1" t="s">
        <v>9</v>
      </c>
      <c r="B214" s="1" t="s">
        <v>236</v>
      </c>
      <c r="C214" s="1" t="s">
        <v>25</v>
      </c>
      <c r="D214" s="1" t="s">
        <v>26</v>
      </c>
      <c r="E214" s="1" t="s">
        <v>13</v>
      </c>
      <c r="F214" s="1" t="s">
        <v>33</v>
      </c>
      <c r="G214" s="1">
        <v>88.43</v>
      </c>
      <c r="H214" s="1">
        <v>8</v>
      </c>
      <c r="I214" s="1">
        <f t="shared" si="6"/>
        <v>35.372000000000007</v>
      </c>
      <c r="J214">
        <f t="shared" si="7"/>
        <v>742.81200000000001</v>
      </c>
    </row>
    <row r="215" spans="1:10" x14ac:dyDescent="0.3">
      <c r="A215" s="1" t="s">
        <v>9</v>
      </c>
      <c r="B215" s="1" t="s">
        <v>237</v>
      </c>
      <c r="C215" s="1" t="s">
        <v>11</v>
      </c>
      <c r="D215" s="1" t="s">
        <v>12</v>
      </c>
      <c r="E215" s="1" t="s">
        <v>13</v>
      </c>
      <c r="F215" s="1" t="s">
        <v>22</v>
      </c>
      <c r="G215" s="1">
        <v>89.21</v>
      </c>
      <c r="H215" s="1">
        <v>9</v>
      </c>
      <c r="I215" s="1">
        <f t="shared" si="6"/>
        <v>40.144500000000001</v>
      </c>
      <c r="J215">
        <f t="shared" si="7"/>
        <v>843.03449999999998</v>
      </c>
    </row>
    <row r="216" spans="1:10" x14ac:dyDescent="0.3">
      <c r="A216" s="1" t="s">
        <v>9</v>
      </c>
      <c r="B216" s="1" t="s">
        <v>238</v>
      </c>
      <c r="C216" s="1" t="s">
        <v>11</v>
      </c>
      <c r="D216" s="1" t="s">
        <v>12</v>
      </c>
      <c r="E216" s="1" t="s">
        <v>18</v>
      </c>
      <c r="F216" s="1" t="s">
        <v>33</v>
      </c>
      <c r="G216" s="1">
        <v>19.100000000000001</v>
      </c>
      <c r="H216" s="1">
        <v>7</v>
      </c>
      <c r="I216" s="1">
        <f t="shared" si="6"/>
        <v>6.6850000000000014</v>
      </c>
      <c r="J216">
        <f t="shared" si="7"/>
        <v>140.38500000000002</v>
      </c>
    </row>
    <row r="217" spans="1:10" x14ac:dyDescent="0.3">
      <c r="A217" s="1" t="s">
        <v>9</v>
      </c>
      <c r="B217" s="1" t="s">
        <v>239</v>
      </c>
      <c r="C217" s="1" t="s">
        <v>25</v>
      </c>
      <c r="D217" s="1" t="s">
        <v>26</v>
      </c>
      <c r="E217" s="1" t="s">
        <v>13</v>
      </c>
      <c r="F217" s="1" t="s">
        <v>14</v>
      </c>
      <c r="G217" s="1">
        <v>19.149999999999999</v>
      </c>
      <c r="H217" s="1">
        <v>1</v>
      </c>
      <c r="I217" s="1">
        <f t="shared" ref="I217:I280" si="8">(G217*H217)*5%</f>
        <v>0.95750000000000002</v>
      </c>
      <c r="J217">
        <f t="shared" si="7"/>
        <v>20.107499999999998</v>
      </c>
    </row>
    <row r="218" spans="1:10" x14ac:dyDescent="0.3">
      <c r="A218" s="1" t="s">
        <v>9</v>
      </c>
      <c r="B218" s="1" t="s">
        <v>240</v>
      </c>
      <c r="C218" s="1" t="s">
        <v>25</v>
      </c>
      <c r="D218" s="1" t="s">
        <v>26</v>
      </c>
      <c r="E218" s="1" t="s">
        <v>13</v>
      </c>
      <c r="F218" s="1" t="s">
        <v>14</v>
      </c>
      <c r="G218" s="1">
        <v>27.07</v>
      </c>
      <c r="H218" s="1">
        <v>1</v>
      </c>
      <c r="I218" s="1">
        <f t="shared" si="8"/>
        <v>1.3535000000000001</v>
      </c>
      <c r="J218">
        <f t="shared" si="7"/>
        <v>28.423500000000001</v>
      </c>
    </row>
    <row r="219" spans="1:10" x14ac:dyDescent="0.3">
      <c r="A219" s="1" t="s">
        <v>9</v>
      </c>
      <c r="B219" s="1" t="s">
        <v>241</v>
      </c>
      <c r="C219" s="1" t="s">
        <v>25</v>
      </c>
      <c r="D219" s="1" t="s">
        <v>26</v>
      </c>
      <c r="E219" s="1" t="s">
        <v>13</v>
      </c>
      <c r="F219" s="1" t="s">
        <v>33</v>
      </c>
      <c r="G219" s="1">
        <v>39.119999999999997</v>
      </c>
      <c r="H219" s="1">
        <v>1</v>
      </c>
      <c r="I219" s="1">
        <f t="shared" si="8"/>
        <v>1.956</v>
      </c>
      <c r="J219">
        <f t="shared" si="7"/>
        <v>41.076000000000001</v>
      </c>
    </row>
    <row r="220" spans="1:10" x14ac:dyDescent="0.3">
      <c r="A220" s="1" t="s">
        <v>9</v>
      </c>
      <c r="B220" s="1" t="s">
        <v>242</v>
      </c>
      <c r="C220" s="1" t="s">
        <v>25</v>
      </c>
      <c r="D220" s="1" t="s">
        <v>26</v>
      </c>
      <c r="E220" s="1" t="s">
        <v>18</v>
      </c>
      <c r="F220" s="1" t="s">
        <v>19</v>
      </c>
      <c r="G220" s="1">
        <v>74.709999999999994</v>
      </c>
      <c r="H220" s="1">
        <v>6</v>
      </c>
      <c r="I220" s="1">
        <f t="shared" si="8"/>
        <v>22.413</v>
      </c>
      <c r="J220">
        <f t="shared" si="7"/>
        <v>470.673</v>
      </c>
    </row>
    <row r="221" spans="1:10" x14ac:dyDescent="0.3">
      <c r="A221" s="1" t="s">
        <v>9</v>
      </c>
      <c r="B221" s="1" t="s">
        <v>243</v>
      </c>
      <c r="C221" s="1" t="s">
        <v>11</v>
      </c>
      <c r="D221" s="1" t="s">
        <v>12</v>
      </c>
      <c r="E221" s="1" t="s">
        <v>18</v>
      </c>
      <c r="F221" s="1" t="s">
        <v>27</v>
      </c>
      <c r="G221" s="1">
        <v>63.61</v>
      </c>
      <c r="H221" s="1">
        <v>5</v>
      </c>
      <c r="I221" s="1">
        <f t="shared" si="8"/>
        <v>15.902500000000002</v>
      </c>
      <c r="J221">
        <f t="shared" si="7"/>
        <v>333.95249999999999</v>
      </c>
    </row>
    <row r="222" spans="1:10" x14ac:dyDescent="0.3">
      <c r="A222" s="1" t="s">
        <v>9</v>
      </c>
      <c r="B222" s="1" t="s">
        <v>244</v>
      </c>
      <c r="C222" s="1" t="s">
        <v>25</v>
      </c>
      <c r="D222" s="1" t="s">
        <v>26</v>
      </c>
      <c r="E222" s="1" t="s">
        <v>13</v>
      </c>
      <c r="F222" s="1" t="s">
        <v>29</v>
      </c>
      <c r="G222" s="1">
        <v>29.56</v>
      </c>
      <c r="H222" s="1">
        <v>5</v>
      </c>
      <c r="I222" s="1">
        <f t="shared" si="8"/>
        <v>7.39</v>
      </c>
      <c r="J222">
        <f t="shared" si="7"/>
        <v>155.18999999999997</v>
      </c>
    </row>
    <row r="223" spans="1:10" x14ac:dyDescent="0.3">
      <c r="A223" s="1" t="s">
        <v>9</v>
      </c>
      <c r="B223" s="1" t="s">
        <v>245</v>
      </c>
      <c r="C223" s="1" t="s">
        <v>25</v>
      </c>
      <c r="D223" s="1" t="s">
        <v>26</v>
      </c>
      <c r="E223" s="1" t="s">
        <v>13</v>
      </c>
      <c r="F223" s="1" t="s">
        <v>27</v>
      </c>
      <c r="G223" s="1">
        <v>77.400000000000006</v>
      </c>
      <c r="H223" s="1">
        <v>9</v>
      </c>
      <c r="I223" s="1">
        <f t="shared" si="8"/>
        <v>34.830000000000005</v>
      </c>
      <c r="J223">
        <f t="shared" si="7"/>
        <v>731.43000000000006</v>
      </c>
    </row>
    <row r="224" spans="1:10" x14ac:dyDescent="0.3">
      <c r="A224" s="1" t="s">
        <v>9</v>
      </c>
      <c r="B224" s="1" t="s">
        <v>246</v>
      </c>
      <c r="C224" s="1" t="s">
        <v>16</v>
      </c>
      <c r="D224" s="1" t="s">
        <v>17</v>
      </c>
      <c r="E224" s="1" t="s">
        <v>13</v>
      </c>
      <c r="F224" s="1" t="s">
        <v>19</v>
      </c>
      <c r="G224" s="1">
        <v>46.57</v>
      </c>
      <c r="H224" s="1">
        <v>10</v>
      </c>
      <c r="I224" s="1">
        <f t="shared" si="8"/>
        <v>23.285</v>
      </c>
      <c r="J224">
        <f t="shared" si="7"/>
        <v>488.98500000000001</v>
      </c>
    </row>
    <row r="225" spans="1:10" x14ac:dyDescent="0.3">
      <c r="A225" s="1" t="s">
        <v>9</v>
      </c>
      <c r="B225" s="1" t="s">
        <v>247</v>
      </c>
      <c r="C225" s="1" t="s">
        <v>25</v>
      </c>
      <c r="D225" s="1" t="s">
        <v>26</v>
      </c>
      <c r="E225" s="1" t="s">
        <v>13</v>
      </c>
      <c r="F225" s="1" t="s">
        <v>27</v>
      </c>
      <c r="G225" s="1">
        <v>73.05</v>
      </c>
      <c r="H225" s="1">
        <v>10</v>
      </c>
      <c r="I225" s="1">
        <f t="shared" si="8"/>
        <v>36.524999999999999</v>
      </c>
      <c r="J225">
        <f t="shared" si="7"/>
        <v>767.02499999999998</v>
      </c>
    </row>
    <row r="226" spans="1:10" x14ac:dyDescent="0.3">
      <c r="A226" s="1" t="s">
        <v>9</v>
      </c>
      <c r="B226" s="1" t="s">
        <v>248</v>
      </c>
      <c r="C226" s="1" t="s">
        <v>16</v>
      </c>
      <c r="D226" s="1" t="s">
        <v>17</v>
      </c>
      <c r="E226" s="1" t="s">
        <v>18</v>
      </c>
      <c r="F226" s="1" t="s">
        <v>33</v>
      </c>
      <c r="G226" s="1">
        <v>73.95</v>
      </c>
      <c r="H226" s="1">
        <v>4</v>
      </c>
      <c r="I226" s="1">
        <f t="shared" si="8"/>
        <v>14.790000000000001</v>
      </c>
      <c r="J226">
        <f t="shared" si="7"/>
        <v>310.59000000000003</v>
      </c>
    </row>
    <row r="227" spans="1:10" x14ac:dyDescent="0.3">
      <c r="A227" s="1" t="s">
        <v>9</v>
      </c>
      <c r="B227" s="1" t="s">
        <v>249</v>
      </c>
      <c r="C227" s="1" t="s">
        <v>16</v>
      </c>
      <c r="D227" s="1" t="s">
        <v>17</v>
      </c>
      <c r="E227" s="1" t="s">
        <v>13</v>
      </c>
      <c r="F227" s="1" t="s">
        <v>27</v>
      </c>
      <c r="G227" s="1">
        <v>22.62</v>
      </c>
      <c r="H227" s="1">
        <v>1</v>
      </c>
      <c r="I227" s="1">
        <f t="shared" si="8"/>
        <v>1.131</v>
      </c>
      <c r="J227">
        <f t="shared" si="7"/>
        <v>23.751000000000001</v>
      </c>
    </row>
    <row r="228" spans="1:10" x14ac:dyDescent="0.3">
      <c r="A228" s="1" t="s">
        <v>9</v>
      </c>
      <c r="B228" s="1" t="s">
        <v>250</v>
      </c>
      <c r="C228" s="1" t="s">
        <v>16</v>
      </c>
      <c r="D228" s="1" t="s">
        <v>17</v>
      </c>
      <c r="E228" s="1" t="s">
        <v>13</v>
      </c>
      <c r="F228" s="1" t="s">
        <v>33</v>
      </c>
      <c r="G228" s="1">
        <v>54.55</v>
      </c>
      <c r="H228" s="1">
        <v>10</v>
      </c>
      <c r="I228" s="1">
        <f t="shared" si="8"/>
        <v>27.275000000000002</v>
      </c>
      <c r="J228">
        <f t="shared" si="7"/>
        <v>572.77499999999998</v>
      </c>
    </row>
    <row r="229" spans="1:10" x14ac:dyDescent="0.3">
      <c r="A229" s="1" t="s">
        <v>9</v>
      </c>
      <c r="B229" s="1" t="s">
        <v>251</v>
      </c>
      <c r="C229" s="1" t="s">
        <v>16</v>
      </c>
      <c r="D229" s="1" t="s">
        <v>17</v>
      </c>
      <c r="E229" s="1" t="s">
        <v>13</v>
      </c>
      <c r="F229" s="1" t="s">
        <v>14</v>
      </c>
      <c r="G229" s="1">
        <v>37.15</v>
      </c>
      <c r="H229" s="1">
        <v>7</v>
      </c>
      <c r="I229" s="1">
        <f t="shared" si="8"/>
        <v>13.002500000000001</v>
      </c>
      <c r="J229">
        <f t="shared" si="7"/>
        <v>273.05250000000001</v>
      </c>
    </row>
    <row r="230" spans="1:10" x14ac:dyDescent="0.3">
      <c r="A230" s="1" t="s">
        <v>9</v>
      </c>
      <c r="B230" s="1" t="s">
        <v>252</v>
      </c>
      <c r="C230" s="1" t="s">
        <v>16</v>
      </c>
      <c r="D230" s="1" t="s">
        <v>17</v>
      </c>
      <c r="E230" s="1" t="s">
        <v>13</v>
      </c>
      <c r="F230" s="1" t="s">
        <v>19</v>
      </c>
      <c r="G230" s="1">
        <v>98.84</v>
      </c>
      <c r="H230" s="1">
        <v>1</v>
      </c>
      <c r="I230" s="1">
        <f t="shared" si="8"/>
        <v>4.9420000000000002</v>
      </c>
      <c r="J230">
        <f t="shared" si="7"/>
        <v>103.78200000000001</v>
      </c>
    </row>
    <row r="231" spans="1:10" x14ac:dyDescent="0.3">
      <c r="A231" s="1" t="s">
        <v>9</v>
      </c>
      <c r="B231" s="1" t="s">
        <v>253</v>
      </c>
      <c r="C231" s="1" t="s">
        <v>16</v>
      </c>
      <c r="D231" s="1" t="s">
        <v>17</v>
      </c>
      <c r="E231" s="1" t="s">
        <v>13</v>
      </c>
      <c r="F231" s="1" t="s">
        <v>22</v>
      </c>
      <c r="G231" s="1">
        <v>83.77</v>
      </c>
      <c r="H231" s="1">
        <v>6</v>
      </c>
      <c r="I231" s="1">
        <f t="shared" si="8"/>
        <v>25.131</v>
      </c>
      <c r="J231">
        <f t="shared" si="7"/>
        <v>527.75099999999998</v>
      </c>
    </row>
    <row r="232" spans="1:10" x14ac:dyDescent="0.3">
      <c r="A232" s="1" t="s">
        <v>9</v>
      </c>
      <c r="B232" s="1" t="s">
        <v>254</v>
      </c>
      <c r="C232" s="1" t="s">
        <v>11</v>
      </c>
      <c r="D232" s="1" t="s">
        <v>12</v>
      </c>
      <c r="E232" s="1" t="s">
        <v>13</v>
      </c>
      <c r="F232" s="1" t="s">
        <v>33</v>
      </c>
      <c r="G232" s="1">
        <v>40.049999999999997</v>
      </c>
      <c r="H232" s="1">
        <v>4</v>
      </c>
      <c r="I232" s="1">
        <f t="shared" si="8"/>
        <v>8.01</v>
      </c>
      <c r="J232">
        <f t="shared" si="7"/>
        <v>168.20999999999998</v>
      </c>
    </row>
    <row r="233" spans="1:10" x14ac:dyDescent="0.3">
      <c r="A233" s="1" t="s">
        <v>9</v>
      </c>
      <c r="B233" s="1" t="s">
        <v>255</v>
      </c>
      <c r="C233" s="1" t="s">
        <v>11</v>
      </c>
      <c r="D233" s="1" t="s">
        <v>12</v>
      </c>
      <c r="E233" s="1" t="s">
        <v>13</v>
      </c>
      <c r="F233" s="1" t="s">
        <v>19</v>
      </c>
      <c r="G233" s="1">
        <v>64.44</v>
      </c>
      <c r="H233" s="1">
        <v>5</v>
      </c>
      <c r="I233" s="1">
        <f t="shared" si="8"/>
        <v>16.11</v>
      </c>
      <c r="J233">
        <f t="shared" si="7"/>
        <v>338.31</v>
      </c>
    </row>
    <row r="234" spans="1:10" x14ac:dyDescent="0.3">
      <c r="A234" s="1" t="s">
        <v>9</v>
      </c>
      <c r="B234" s="1" t="s">
        <v>256</v>
      </c>
      <c r="C234" s="1" t="s">
        <v>11</v>
      </c>
      <c r="D234" s="1" t="s">
        <v>12</v>
      </c>
      <c r="E234" s="1" t="s">
        <v>18</v>
      </c>
      <c r="F234" s="1" t="s">
        <v>33</v>
      </c>
      <c r="G234" s="1">
        <v>33.26</v>
      </c>
      <c r="H234" s="1">
        <v>5</v>
      </c>
      <c r="I234" s="1">
        <f t="shared" si="8"/>
        <v>8.3149999999999995</v>
      </c>
      <c r="J234">
        <f t="shared" si="7"/>
        <v>174.61499999999998</v>
      </c>
    </row>
    <row r="235" spans="1:10" x14ac:dyDescent="0.3">
      <c r="A235" s="1" t="s">
        <v>9</v>
      </c>
      <c r="B235" s="1" t="s">
        <v>257</v>
      </c>
      <c r="C235" s="1" t="s">
        <v>16</v>
      </c>
      <c r="D235" s="1" t="s">
        <v>17</v>
      </c>
      <c r="E235" s="1" t="s">
        <v>18</v>
      </c>
      <c r="F235" s="1" t="s">
        <v>19</v>
      </c>
      <c r="G235" s="1">
        <v>32.799999999999997</v>
      </c>
      <c r="H235" s="1">
        <v>10</v>
      </c>
      <c r="I235" s="1">
        <f t="shared" si="8"/>
        <v>16.400000000000002</v>
      </c>
      <c r="J235">
        <f t="shared" si="7"/>
        <v>344.4</v>
      </c>
    </row>
    <row r="236" spans="1:10" x14ac:dyDescent="0.3">
      <c r="A236" s="1" t="s">
        <v>9</v>
      </c>
      <c r="B236" s="1" t="s">
        <v>258</v>
      </c>
      <c r="C236" s="1" t="s">
        <v>16</v>
      </c>
      <c r="D236" s="1" t="s">
        <v>17</v>
      </c>
      <c r="E236" s="1" t="s">
        <v>13</v>
      </c>
      <c r="F236" s="1" t="s">
        <v>33</v>
      </c>
      <c r="G236" s="1">
        <v>36.979999999999997</v>
      </c>
      <c r="H236" s="1">
        <v>10</v>
      </c>
      <c r="I236" s="1">
        <f t="shared" si="8"/>
        <v>18.489999999999998</v>
      </c>
      <c r="J236">
        <f t="shared" si="7"/>
        <v>388.28999999999996</v>
      </c>
    </row>
    <row r="237" spans="1:10" x14ac:dyDescent="0.3">
      <c r="A237" s="1" t="s">
        <v>9</v>
      </c>
      <c r="B237" s="1" t="s">
        <v>259</v>
      </c>
      <c r="C237" s="1" t="s">
        <v>25</v>
      </c>
      <c r="D237" s="1" t="s">
        <v>26</v>
      </c>
      <c r="E237" s="1" t="s">
        <v>13</v>
      </c>
      <c r="F237" s="1" t="s">
        <v>33</v>
      </c>
      <c r="G237" s="1">
        <v>49.49</v>
      </c>
      <c r="H237" s="1">
        <v>4</v>
      </c>
      <c r="I237" s="1">
        <f t="shared" si="8"/>
        <v>9.8980000000000015</v>
      </c>
      <c r="J237">
        <f t="shared" si="7"/>
        <v>207.858</v>
      </c>
    </row>
    <row r="238" spans="1:10" x14ac:dyDescent="0.3">
      <c r="A238" s="1" t="s">
        <v>9</v>
      </c>
      <c r="B238" s="1" t="s">
        <v>260</v>
      </c>
      <c r="C238" s="1" t="s">
        <v>25</v>
      </c>
      <c r="D238" s="1" t="s">
        <v>26</v>
      </c>
      <c r="E238" s="1" t="s">
        <v>18</v>
      </c>
      <c r="F238" s="1" t="s">
        <v>29</v>
      </c>
      <c r="G238" s="1">
        <v>41.09</v>
      </c>
      <c r="H238" s="1">
        <v>10</v>
      </c>
      <c r="I238" s="1">
        <f t="shared" si="8"/>
        <v>20.545000000000002</v>
      </c>
      <c r="J238">
        <f t="shared" si="7"/>
        <v>431.44500000000005</v>
      </c>
    </row>
    <row r="239" spans="1:10" x14ac:dyDescent="0.3">
      <c r="A239" s="1" t="s">
        <v>9</v>
      </c>
      <c r="B239" s="1" t="s">
        <v>261</v>
      </c>
      <c r="C239" s="1" t="s">
        <v>25</v>
      </c>
      <c r="D239" s="1" t="s">
        <v>26</v>
      </c>
      <c r="E239" s="1" t="s">
        <v>13</v>
      </c>
      <c r="F239" s="1" t="s">
        <v>22</v>
      </c>
      <c r="G239" s="1">
        <v>77.680000000000007</v>
      </c>
      <c r="H239" s="1">
        <v>9</v>
      </c>
      <c r="I239" s="1">
        <f t="shared" si="8"/>
        <v>34.95600000000001</v>
      </c>
      <c r="J239">
        <f t="shared" si="7"/>
        <v>734.07600000000014</v>
      </c>
    </row>
    <row r="240" spans="1:10" x14ac:dyDescent="0.3">
      <c r="A240" s="1" t="s">
        <v>9</v>
      </c>
      <c r="B240" s="1" t="s">
        <v>262</v>
      </c>
      <c r="C240" s="1" t="s">
        <v>25</v>
      </c>
      <c r="D240" s="1" t="s">
        <v>26</v>
      </c>
      <c r="E240" s="1" t="s">
        <v>18</v>
      </c>
      <c r="F240" s="1" t="s">
        <v>29</v>
      </c>
      <c r="G240" s="1">
        <v>34.700000000000003</v>
      </c>
      <c r="H240" s="1">
        <v>2</v>
      </c>
      <c r="I240" s="1">
        <f t="shared" si="8"/>
        <v>3.4700000000000006</v>
      </c>
      <c r="J240">
        <f t="shared" si="7"/>
        <v>72.87</v>
      </c>
    </row>
    <row r="241" spans="1:10" x14ac:dyDescent="0.3">
      <c r="A241" s="1" t="s">
        <v>9</v>
      </c>
      <c r="B241" s="1" t="s">
        <v>263</v>
      </c>
      <c r="C241" s="1" t="s">
        <v>11</v>
      </c>
      <c r="D241" s="1" t="s">
        <v>12</v>
      </c>
      <c r="E241" s="1" t="s">
        <v>13</v>
      </c>
      <c r="F241" s="1" t="s">
        <v>29</v>
      </c>
      <c r="G241" s="1">
        <v>19.66</v>
      </c>
      <c r="H241" s="1">
        <v>10</v>
      </c>
      <c r="I241" s="1">
        <f t="shared" si="8"/>
        <v>9.83</v>
      </c>
      <c r="J241">
        <f t="shared" si="7"/>
        <v>206.43</v>
      </c>
    </row>
    <row r="242" spans="1:10" x14ac:dyDescent="0.3">
      <c r="A242" s="1" t="s">
        <v>9</v>
      </c>
      <c r="B242" s="1" t="s">
        <v>264</v>
      </c>
      <c r="C242" s="1" t="s">
        <v>25</v>
      </c>
      <c r="D242" s="1" t="s">
        <v>26</v>
      </c>
      <c r="E242" s="1" t="s">
        <v>13</v>
      </c>
      <c r="F242" s="1" t="s">
        <v>14</v>
      </c>
      <c r="G242" s="1">
        <v>25.32</v>
      </c>
      <c r="H242" s="1">
        <v>8</v>
      </c>
      <c r="I242" s="1">
        <f t="shared" si="8"/>
        <v>10.128</v>
      </c>
      <c r="J242">
        <f t="shared" si="7"/>
        <v>212.68799999999999</v>
      </c>
    </row>
    <row r="243" spans="1:10" x14ac:dyDescent="0.3">
      <c r="A243" s="1" t="s">
        <v>9</v>
      </c>
      <c r="B243" s="1" t="s">
        <v>265</v>
      </c>
      <c r="C243" s="1" t="s">
        <v>16</v>
      </c>
      <c r="D243" s="1" t="s">
        <v>17</v>
      </c>
      <c r="E243" s="1" t="s">
        <v>13</v>
      </c>
      <c r="F243" s="1" t="s">
        <v>22</v>
      </c>
      <c r="G243" s="1">
        <v>12.12</v>
      </c>
      <c r="H243" s="1">
        <v>10</v>
      </c>
      <c r="I243" s="1">
        <f t="shared" si="8"/>
        <v>6.06</v>
      </c>
      <c r="J243">
        <f t="shared" si="7"/>
        <v>127.25999999999999</v>
      </c>
    </row>
    <row r="244" spans="1:10" x14ac:dyDescent="0.3">
      <c r="A244" s="1" t="s">
        <v>9</v>
      </c>
      <c r="B244" s="1" t="s">
        <v>266</v>
      </c>
      <c r="C244" s="1" t="s">
        <v>16</v>
      </c>
      <c r="D244" s="1" t="s">
        <v>17</v>
      </c>
      <c r="E244" s="1" t="s">
        <v>18</v>
      </c>
      <c r="F244" s="1" t="s">
        <v>19</v>
      </c>
      <c r="G244" s="1">
        <v>63.22</v>
      </c>
      <c r="H244" s="1">
        <v>2</v>
      </c>
      <c r="I244" s="1">
        <f t="shared" si="8"/>
        <v>6.3220000000000001</v>
      </c>
      <c r="J244">
        <f t="shared" si="7"/>
        <v>132.762</v>
      </c>
    </row>
    <row r="245" spans="1:10" x14ac:dyDescent="0.3">
      <c r="A245" s="1" t="s">
        <v>9</v>
      </c>
      <c r="B245" s="1" t="s">
        <v>267</v>
      </c>
      <c r="C245" s="1" t="s">
        <v>16</v>
      </c>
      <c r="D245" s="1" t="s">
        <v>17</v>
      </c>
      <c r="E245" s="1" t="s">
        <v>18</v>
      </c>
      <c r="F245" s="1" t="s">
        <v>27</v>
      </c>
      <c r="G245" s="1">
        <v>90.24</v>
      </c>
      <c r="H245" s="1">
        <v>6</v>
      </c>
      <c r="I245" s="1">
        <f t="shared" si="8"/>
        <v>27.071999999999999</v>
      </c>
      <c r="J245">
        <f t="shared" si="7"/>
        <v>568.51199999999994</v>
      </c>
    </row>
    <row r="246" spans="1:10" x14ac:dyDescent="0.3">
      <c r="A246" s="1" t="s">
        <v>9</v>
      </c>
      <c r="B246" s="1" t="s">
        <v>268</v>
      </c>
      <c r="C246" s="1" t="s">
        <v>25</v>
      </c>
      <c r="D246" s="1" t="s">
        <v>26</v>
      </c>
      <c r="E246" s="1" t="s">
        <v>13</v>
      </c>
      <c r="F246" s="1" t="s">
        <v>33</v>
      </c>
      <c r="G246" s="1">
        <v>98.13</v>
      </c>
      <c r="H246" s="1">
        <v>1</v>
      </c>
      <c r="I246" s="1">
        <f t="shared" si="8"/>
        <v>4.9065000000000003</v>
      </c>
      <c r="J246">
        <f t="shared" si="7"/>
        <v>103.03649999999999</v>
      </c>
    </row>
    <row r="247" spans="1:10" x14ac:dyDescent="0.3">
      <c r="A247" s="1" t="s">
        <v>9</v>
      </c>
      <c r="B247" s="1" t="s">
        <v>269</v>
      </c>
      <c r="C247" s="1" t="s">
        <v>11</v>
      </c>
      <c r="D247" s="1" t="s">
        <v>12</v>
      </c>
      <c r="E247" s="1" t="s">
        <v>13</v>
      </c>
      <c r="F247" s="1" t="s">
        <v>33</v>
      </c>
      <c r="G247" s="1">
        <v>51.52</v>
      </c>
      <c r="H247" s="1">
        <v>8</v>
      </c>
      <c r="I247" s="1">
        <f t="shared" si="8"/>
        <v>20.608000000000004</v>
      </c>
      <c r="J247">
        <f t="shared" si="7"/>
        <v>432.76800000000003</v>
      </c>
    </row>
    <row r="248" spans="1:10" x14ac:dyDescent="0.3">
      <c r="A248" s="1" t="s">
        <v>9</v>
      </c>
      <c r="B248" s="1" t="s">
        <v>270</v>
      </c>
      <c r="C248" s="1" t="s">
        <v>16</v>
      </c>
      <c r="D248" s="1" t="s">
        <v>17</v>
      </c>
      <c r="E248" s="1" t="s">
        <v>13</v>
      </c>
      <c r="F248" s="1" t="s">
        <v>29</v>
      </c>
      <c r="G248" s="1">
        <v>31.9</v>
      </c>
      <c r="H248" s="1">
        <v>1</v>
      </c>
      <c r="I248" s="1">
        <f t="shared" si="8"/>
        <v>1.595</v>
      </c>
      <c r="J248">
        <f t="shared" si="7"/>
        <v>33.494999999999997</v>
      </c>
    </row>
    <row r="249" spans="1:10" x14ac:dyDescent="0.3">
      <c r="A249" s="1" t="s">
        <v>9</v>
      </c>
      <c r="B249" s="1" t="s">
        <v>271</v>
      </c>
      <c r="C249" s="1" t="s">
        <v>25</v>
      </c>
      <c r="D249" s="1" t="s">
        <v>26</v>
      </c>
      <c r="E249" s="1" t="s">
        <v>18</v>
      </c>
      <c r="F249" s="1" t="s">
        <v>33</v>
      </c>
      <c r="G249" s="1">
        <v>93.31</v>
      </c>
      <c r="H249" s="1">
        <v>2</v>
      </c>
      <c r="I249" s="1">
        <f t="shared" si="8"/>
        <v>9.3310000000000013</v>
      </c>
      <c r="J249">
        <f t="shared" si="7"/>
        <v>195.95099999999999</v>
      </c>
    </row>
    <row r="250" spans="1:10" x14ac:dyDescent="0.3">
      <c r="A250" s="1" t="s">
        <v>9</v>
      </c>
      <c r="B250" s="1" t="s">
        <v>272</v>
      </c>
      <c r="C250" s="1" t="s">
        <v>25</v>
      </c>
      <c r="D250" s="1" t="s">
        <v>26</v>
      </c>
      <c r="E250" s="1" t="s">
        <v>13</v>
      </c>
      <c r="F250" s="1" t="s">
        <v>33</v>
      </c>
      <c r="G250" s="1">
        <v>48.5</v>
      </c>
      <c r="H250" s="1">
        <v>3</v>
      </c>
      <c r="I250" s="1">
        <f t="shared" si="8"/>
        <v>7.2750000000000004</v>
      </c>
      <c r="J250">
        <f t="shared" si="7"/>
        <v>152.77500000000001</v>
      </c>
    </row>
    <row r="251" spans="1:10" x14ac:dyDescent="0.3">
      <c r="A251" s="1" t="s">
        <v>9</v>
      </c>
      <c r="B251" s="1" t="s">
        <v>273</v>
      </c>
      <c r="C251" s="1" t="s">
        <v>25</v>
      </c>
      <c r="D251" s="1" t="s">
        <v>26</v>
      </c>
      <c r="E251" s="1" t="s">
        <v>18</v>
      </c>
      <c r="F251" s="1" t="s">
        <v>27</v>
      </c>
      <c r="G251" s="1">
        <v>84.05</v>
      </c>
      <c r="H251" s="1">
        <v>6</v>
      </c>
      <c r="I251" s="1">
        <f t="shared" si="8"/>
        <v>25.215</v>
      </c>
      <c r="J251">
        <f t="shared" si="7"/>
        <v>529.51499999999999</v>
      </c>
    </row>
    <row r="252" spans="1:10" x14ac:dyDescent="0.3">
      <c r="A252" s="1" t="s">
        <v>9</v>
      </c>
      <c r="B252" s="1" t="s">
        <v>274</v>
      </c>
      <c r="C252" s="1" t="s">
        <v>16</v>
      </c>
      <c r="D252" s="1" t="s">
        <v>17</v>
      </c>
      <c r="E252" s="1" t="s">
        <v>13</v>
      </c>
      <c r="F252" s="1" t="s">
        <v>22</v>
      </c>
      <c r="G252" s="1">
        <v>15.95</v>
      </c>
      <c r="H252" s="1">
        <v>6</v>
      </c>
      <c r="I252" s="1">
        <f t="shared" si="8"/>
        <v>4.7849999999999993</v>
      </c>
      <c r="J252">
        <f t="shared" si="7"/>
        <v>100.48499999999999</v>
      </c>
    </row>
    <row r="253" spans="1:10" x14ac:dyDescent="0.3">
      <c r="A253" s="1" t="s">
        <v>9</v>
      </c>
      <c r="B253" s="1" t="s">
        <v>275</v>
      </c>
      <c r="C253" s="1" t="s">
        <v>25</v>
      </c>
      <c r="D253" s="1" t="s">
        <v>26</v>
      </c>
      <c r="E253" s="1" t="s">
        <v>13</v>
      </c>
      <c r="F253" s="1" t="s">
        <v>33</v>
      </c>
      <c r="G253" s="1">
        <v>90.74</v>
      </c>
      <c r="H253" s="1">
        <v>7</v>
      </c>
      <c r="I253" s="1">
        <f t="shared" si="8"/>
        <v>31.759</v>
      </c>
      <c r="J253">
        <f t="shared" si="7"/>
        <v>666.93899999999996</v>
      </c>
    </row>
    <row r="254" spans="1:10" x14ac:dyDescent="0.3">
      <c r="A254" s="1" t="s">
        <v>9</v>
      </c>
      <c r="B254" s="1" t="s">
        <v>276</v>
      </c>
      <c r="C254" s="1" t="s">
        <v>11</v>
      </c>
      <c r="D254" s="1" t="s">
        <v>12</v>
      </c>
      <c r="E254" s="1" t="s">
        <v>18</v>
      </c>
      <c r="F254" s="1" t="s">
        <v>22</v>
      </c>
      <c r="G254" s="1">
        <v>42.91</v>
      </c>
      <c r="H254" s="1">
        <v>5</v>
      </c>
      <c r="I254" s="1">
        <f t="shared" si="8"/>
        <v>10.727499999999999</v>
      </c>
      <c r="J254">
        <f t="shared" si="7"/>
        <v>225.27749999999997</v>
      </c>
    </row>
    <row r="255" spans="1:10" x14ac:dyDescent="0.3">
      <c r="A255" s="1" t="s">
        <v>9</v>
      </c>
      <c r="B255" s="1" t="s">
        <v>277</v>
      </c>
      <c r="C255" s="1" t="s">
        <v>11</v>
      </c>
      <c r="D255" s="1" t="s">
        <v>12</v>
      </c>
      <c r="E255" s="1" t="s">
        <v>18</v>
      </c>
      <c r="F255" s="1" t="s">
        <v>29</v>
      </c>
      <c r="G255" s="1">
        <v>54.28</v>
      </c>
      <c r="H255" s="1">
        <v>7</v>
      </c>
      <c r="I255" s="1">
        <f t="shared" si="8"/>
        <v>18.998000000000001</v>
      </c>
      <c r="J255">
        <f t="shared" si="7"/>
        <v>398.95800000000003</v>
      </c>
    </row>
    <row r="256" spans="1:10" x14ac:dyDescent="0.3">
      <c r="A256" s="1" t="s">
        <v>9</v>
      </c>
      <c r="B256" s="1" t="s">
        <v>278</v>
      </c>
      <c r="C256" s="1" t="s">
        <v>16</v>
      </c>
      <c r="D256" s="1" t="s">
        <v>17</v>
      </c>
      <c r="E256" s="1" t="s">
        <v>13</v>
      </c>
      <c r="F256" s="1" t="s">
        <v>29</v>
      </c>
      <c r="G256" s="1">
        <v>51.47</v>
      </c>
      <c r="H256" s="1">
        <v>1</v>
      </c>
      <c r="I256" s="1">
        <f t="shared" si="8"/>
        <v>2.5735000000000001</v>
      </c>
      <c r="J256">
        <f t="shared" si="7"/>
        <v>54.043500000000002</v>
      </c>
    </row>
    <row r="257" spans="1:10" x14ac:dyDescent="0.3">
      <c r="A257" s="1" t="s">
        <v>9</v>
      </c>
      <c r="B257" s="1" t="s">
        <v>279</v>
      </c>
      <c r="C257" s="1" t="s">
        <v>25</v>
      </c>
      <c r="D257" s="1" t="s">
        <v>26</v>
      </c>
      <c r="E257" s="1" t="s">
        <v>18</v>
      </c>
      <c r="F257" s="1" t="s">
        <v>19</v>
      </c>
      <c r="G257" s="1">
        <v>45.71</v>
      </c>
      <c r="H257" s="1">
        <v>3</v>
      </c>
      <c r="I257" s="1">
        <f t="shared" si="8"/>
        <v>6.8565000000000005</v>
      </c>
      <c r="J257">
        <f t="shared" si="7"/>
        <v>143.98650000000001</v>
      </c>
    </row>
    <row r="258" spans="1:10" x14ac:dyDescent="0.3">
      <c r="A258" s="1" t="s">
        <v>9</v>
      </c>
      <c r="B258" s="1" t="s">
        <v>280</v>
      </c>
      <c r="C258" s="1" t="s">
        <v>16</v>
      </c>
      <c r="D258" s="1" t="s">
        <v>17</v>
      </c>
      <c r="E258" s="1" t="s">
        <v>13</v>
      </c>
      <c r="F258" s="1" t="s">
        <v>22</v>
      </c>
      <c r="G258" s="1">
        <v>83.17</v>
      </c>
      <c r="H258" s="1">
        <v>6</v>
      </c>
      <c r="I258" s="1">
        <f t="shared" si="8"/>
        <v>24.951000000000001</v>
      </c>
      <c r="J258">
        <f t="shared" si="7"/>
        <v>523.971</v>
      </c>
    </row>
    <row r="259" spans="1:10" x14ac:dyDescent="0.3">
      <c r="A259" s="1" t="s">
        <v>9</v>
      </c>
      <c r="B259" s="1" t="s">
        <v>281</v>
      </c>
      <c r="C259" s="1" t="s">
        <v>11</v>
      </c>
      <c r="D259" s="1" t="s">
        <v>12</v>
      </c>
      <c r="E259" s="1" t="s">
        <v>13</v>
      </c>
      <c r="F259" s="1" t="s">
        <v>22</v>
      </c>
      <c r="G259" s="1">
        <v>37.44</v>
      </c>
      <c r="H259" s="1">
        <v>6</v>
      </c>
      <c r="I259" s="1">
        <f t="shared" si="8"/>
        <v>11.231999999999999</v>
      </c>
      <c r="J259">
        <f t="shared" ref="J259:J322" si="9">(G259*H259)+I259</f>
        <v>235.87199999999999</v>
      </c>
    </row>
    <row r="260" spans="1:10" x14ac:dyDescent="0.3">
      <c r="A260" s="1" t="s">
        <v>9</v>
      </c>
      <c r="B260" s="1" t="s">
        <v>282</v>
      </c>
      <c r="C260" s="1" t="s">
        <v>11</v>
      </c>
      <c r="D260" s="1" t="s">
        <v>12</v>
      </c>
      <c r="E260" s="1" t="s">
        <v>13</v>
      </c>
      <c r="F260" s="1" t="s">
        <v>33</v>
      </c>
      <c r="G260" s="1">
        <v>91.41</v>
      </c>
      <c r="H260" s="1">
        <v>5</v>
      </c>
      <c r="I260" s="1">
        <f t="shared" si="8"/>
        <v>22.852499999999999</v>
      </c>
      <c r="J260">
        <f t="shared" si="9"/>
        <v>479.90249999999997</v>
      </c>
    </row>
    <row r="261" spans="1:10" x14ac:dyDescent="0.3">
      <c r="A261" s="1" t="s">
        <v>9</v>
      </c>
      <c r="B261" s="1" t="s">
        <v>283</v>
      </c>
      <c r="C261" s="1" t="s">
        <v>25</v>
      </c>
      <c r="D261" s="1" t="s">
        <v>26</v>
      </c>
      <c r="E261" s="1" t="s">
        <v>13</v>
      </c>
      <c r="F261" s="1" t="s">
        <v>27</v>
      </c>
      <c r="G261" s="1">
        <v>54.36</v>
      </c>
      <c r="H261" s="1">
        <v>10</v>
      </c>
      <c r="I261" s="1">
        <f t="shared" si="8"/>
        <v>27.180000000000003</v>
      </c>
      <c r="J261">
        <f t="shared" si="9"/>
        <v>570.78</v>
      </c>
    </row>
    <row r="262" spans="1:10" x14ac:dyDescent="0.3">
      <c r="A262" s="1" t="s">
        <v>9</v>
      </c>
      <c r="B262" s="1" t="s">
        <v>284</v>
      </c>
      <c r="C262" s="1" t="s">
        <v>16</v>
      </c>
      <c r="D262" s="1" t="s">
        <v>17</v>
      </c>
      <c r="E262" s="1" t="s">
        <v>18</v>
      </c>
      <c r="F262" s="1" t="s">
        <v>27</v>
      </c>
      <c r="G262" s="1">
        <v>16.309999999999999</v>
      </c>
      <c r="H262" s="1">
        <v>9</v>
      </c>
      <c r="I262" s="1">
        <f t="shared" si="8"/>
        <v>7.3395000000000001</v>
      </c>
      <c r="J262">
        <f t="shared" si="9"/>
        <v>154.12949999999998</v>
      </c>
    </row>
    <row r="263" spans="1:10" x14ac:dyDescent="0.3">
      <c r="A263" s="1" t="s">
        <v>9</v>
      </c>
      <c r="B263" s="1" t="s">
        <v>285</v>
      </c>
      <c r="C263" s="1" t="s">
        <v>11</v>
      </c>
      <c r="D263" s="1" t="s">
        <v>12</v>
      </c>
      <c r="E263" s="1" t="s">
        <v>18</v>
      </c>
      <c r="F263" s="1" t="s">
        <v>22</v>
      </c>
      <c r="G263" s="1">
        <v>28.32</v>
      </c>
      <c r="H263" s="1">
        <v>5</v>
      </c>
      <c r="I263" s="1">
        <f t="shared" si="8"/>
        <v>7.08</v>
      </c>
      <c r="J263">
        <f t="shared" si="9"/>
        <v>148.68</v>
      </c>
    </row>
    <row r="264" spans="1:10" x14ac:dyDescent="0.3">
      <c r="A264" s="1" t="s">
        <v>9</v>
      </c>
      <c r="B264" s="1" t="s">
        <v>286</v>
      </c>
      <c r="C264" s="1" t="s">
        <v>25</v>
      </c>
      <c r="D264" s="1" t="s">
        <v>26</v>
      </c>
      <c r="E264" s="1" t="s">
        <v>13</v>
      </c>
      <c r="F264" s="1" t="s">
        <v>29</v>
      </c>
      <c r="G264" s="1">
        <v>73.959999999999994</v>
      </c>
      <c r="H264" s="1">
        <v>1</v>
      </c>
      <c r="I264" s="1">
        <f t="shared" si="8"/>
        <v>3.698</v>
      </c>
      <c r="J264">
        <f t="shared" si="9"/>
        <v>77.657999999999987</v>
      </c>
    </row>
    <row r="265" spans="1:10" x14ac:dyDescent="0.3">
      <c r="A265" s="1" t="s">
        <v>9</v>
      </c>
      <c r="B265" s="1" t="s">
        <v>287</v>
      </c>
      <c r="C265" s="1" t="s">
        <v>11</v>
      </c>
      <c r="D265" s="1" t="s">
        <v>12</v>
      </c>
      <c r="E265" s="1" t="s">
        <v>18</v>
      </c>
      <c r="F265" s="1" t="s">
        <v>29</v>
      </c>
      <c r="G265" s="1">
        <v>73.05</v>
      </c>
      <c r="H265" s="1">
        <v>4</v>
      </c>
      <c r="I265" s="1">
        <f t="shared" si="8"/>
        <v>14.61</v>
      </c>
      <c r="J265">
        <f t="shared" si="9"/>
        <v>306.81</v>
      </c>
    </row>
    <row r="266" spans="1:10" x14ac:dyDescent="0.3">
      <c r="A266" s="1" t="s">
        <v>9</v>
      </c>
      <c r="B266" s="1" t="s">
        <v>288</v>
      </c>
      <c r="C266" s="1" t="s">
        <v>16</v>
      </c>
      <c r="D266" s="1" t="s">
        <v>17</v>
      </c>
      <c r="E266" s="1" t="s">
        <v>13</v>
      </c>
      <c r="F266" s="1" t="s">
        <v>27</v>
      </c>
      <c r="G266" s="1">
        <v>87.48</v>
      </c>
      <c r="H266" s="1">
        <v>6</v>
      </c>
      <c r="I266" s="1">
        <f t="shared" si="8"/>
        <v>26.244</v>
      </c>
      <c r="J266">
        <f t="shared" si="9"/>
        <v>551.12400000000002</v>
      </c>
    </row>
    <row r="267" spans="1:10" x14ac:dyDescent="0.3">
      <c r="A267" s="1" t="s">
        <v>9</v>
      </c>
      <c r="B267" s="1" t="s">
        <v>289</v>
      </c>
      <c r="C267" s="1" t="s">
        <v>25</v>
      </c>
      <c r="D267" s="1" t="s">
        <v>26</v>
      </c>
      <c r="E267" s="1" t="s">
        <v>13</v>
      </c>
      <c r="F267" s="1" t="s">
        <v>33</v>
      </c>
      <c r="G267" s="1">
        <v>20.18</v>
      </c>
      <c r="H267" s="1">
        <v>4</v>
      </c>
      <c r="I267" s="1">
        <f t="shared" si="8"/>
        <v>4.0360000000000005</v>
      </c>
      <c r="J267">
        <f t="shared" si="9"/>
        <v>84.756</v>
      </c>
    </row>
    <row r="268" spans="1:10" x14ac:dyDescent="0.3">
      <c r="A268" s="1" t="s">
        <v>9</v>
      </c>
      <c r="B268" s="1" t="s">
        <v>290</v>
      </c>
      <c r="C268" s="1" t="s">
        <v>25</v>
      </c>
      <c r="D268" s="1" t="s">
        <v>26</v>
      </c>
      <c r="E268" s="1" t="s">
        <v>18</v>
      </c>
      <c r="F268" s="1" t="s">
        <v>27</v>
      </c>
      <c r="G268" s="1">
        <v>71.2</v>
      </c>
      <c r="H268" s="1">
        <v>1</v>
      </c>
      <c r="I268" s="1">
        <f t="shared" si="8"/>
        <v>3.5600000000000005</v>
      </c>
      <c r="J268">
        <f t="shared" si="9"/>
        <v>74.760000000000005</v>
      </c>
    </row>
    <row r="269" spans="1:10" x14ac:dyDescent="0.3">
      <c r="A269" s="1" t="s">
        <v>9</v>
      </c>
      <c r="B269" s="1" t="s">
        <v>291</v>
      </c>
      <c r="C269" s="1" t="s">
        <v>11</v>
      </c>
      <c r="D269" s="1" t="s">
        <v>12</v>
      </c>
      <c r="E269" s="1" t="s">
        <v>18</v>
      </c>
      <c r="F269" s="1" t="s">
        <v>29</v>
      </c>
      <c r="G269" s="1">
        <v>29.42</v>
      </c>
      <c r="H269" s="1">
        <v>10</v>
      </c>
      <c r="I269" s="1">
        <f t="shared" si="8"/>
        <v>14.710000000000003</v>
      </c>
      <c r="J269">
        <f t="shared" si="9"/>
        <v>308.91000000000003</v>
      </c>
    </row>
    <row r="270" spans="1:10" x14ac:dyDescent="0.3">
      <c r="A270" s="1" t="s">
        <v>9</v>
      </c>
      <c r="B270" s="1" t="s">
        <v>292</v>
      </c>
      <c r="C270" s="1" t="s">
        <v>25</v>
      </c>
      <c r="D270" s="1" t="s">
        <v>26</v>
      </c>
      <c r="E270" s="1" t="s">
        <v>18</v>
      </c>
      <c r="F270" s="1" t="s">
        <v>33</v>
      </c>
      <c r="G270" s="1">
        <v>51.54</v>
      </c>
      <c r="H270" s="1">
        <v>5</v>
      </c>
      <c r="I270" s="1">
        <f t="shared" si="8"/>
        <v>12.885</v>
      </c>
      <c r="J270">
        <f t="shared" si="9"/>
        <v>270.58499999999998</v>
      </c>
    </row>
    <row r="271" spans="1:10" x14ac:dyDescent="0.3">
      <c r="A271" s="1" t="s">
        <v>9</v>
      </c>
      <c r="B271" s="1" t="s">
        <v>293</v>
      </c>
      <c r="C271" s="1" t="s">
        <v>11</v>
      </c>
      <c r="D271" s="1" t="s">
        <v>12</v>
      </c>
      <c r="E271" s="1" t="s">
        <v>18</v>
      </c>
      <c r="F271" s="1" t="s">
        <v>19</v>
      </c>
      <c r="G271" s="1">
        <v>66.06</v>
      </c>
      <c r="H271" s="1">
        <v>6</v>
      </c>
      <c r="I271" s="1">
        <f t="shared" si="8"/>
        <v>19.818000000000001</v>
      </c>
      <c r="J271">
        <f t="shared" si="9"/>
        <v>416.178</v>
      </c>
    </row>
    <row r="272" spans="1:10" x14ac:dyDescent="0.3">
      <c r="A272" s="1" t="s">
        <v>9</v>
      </c>
      <c r="B272" s="1" t="s">
        <v>294</v>
      </c>
      <c r="C272" s="1" t="s">
        <v>25</v>
      </c>
      <c r="D272" s="1" t="s">
        <v>26</v>
      </c>
      <c r="E272" s="1" t="s">
        <v>18</v>
      </c>
      <c r="F272" s="1" t="s">
        <v>29</v>
      </c>
      <c r="G272" s="1">
        <v>54.31</v>
      </c>
      <c r="H272" s="1">
        <v>9</v>
      </c>
      <c r="I272" s="1">
        <f t="shared" si="8"/>
        <v>24.439500000000002</v>
      </c>
      <c r="J272">
        <f t="shared" si="9"/>
        <v>513.22950000000003</v>
      </c>
    </row>
    <row r="273" spans="1:10" x14ac:dyDescent="0.3">
      <c r="A273" s="1" t="s">
        <v>9</v>
      </c>
      <c r="B273" s="1" t="s">
        <v>295</v>
      </c>
      <c r="C273" s="1" t="s">
        <v>25</v>
      </c>
      <c r="D273" s="1" t="s">
        <v>26</v>
      </c>
      <c r="E273" s="1" t="s">
        <v>18</v>
      </c>
      <c r="F273" s="1" t="s">
        <v>14</v>
      </c>
      <c r="G273" s="1">
        <v>58.24</v>
      </c>
      <c r="H273" s="1">
        <v>9</v>
      </c>
      <c r="I273" s="1">
        <f t="shared" si="8"/>
        <v>26.207999999999998</v>
      </c>
      <c r="J273">
        <f t="shared" si="9"/>
        <v>550.36799999999994</v>
      </c>
    </row>
    <row r="274" spans="1:10" x14ac:dyDescent="0.3">
      <c r="A274" s="1" t="s">
        <v>9</v>
      </c>
      <c r="B274" s="1" t="s">
        <v>296</v>
      </c>
      <c r="C274" s="1" t="s">
        <v>25</v>
      </c>
      <c r="D274" s="1" t="s">
        <v>26</v>
      </c>
      <c r="E274" s="1" t="s">
        <v>13</v>
      </c>
      <c r="F274" s="1" t="s">
        <v>29</v>
      </c>
      <c r="G274" s="1">
        <v>72.040000000000006</v>
      </c>
      <c r="H274" s="1">
        <v>2</v>
      </c>
      <c r="I274" s="1">
        <f t="shared" si="8"/>
        <v>7.2040000000000006</v>
      </c>
      <c r="J274">
        <f t="shared" si="9"/>
        <v>151.28400000000002</v>
      </c>
    </row>
    <row r="275" spans="1:10" x14ac:dyDescent="0.3">
      <c r="A275" s="1" t="s">
        <v>9</v>
      </c>
      <c r="B275" s="1" t="s">
        <v>297</v>
      </c>
      <c r="C275" s="1" t="s">
        <v>16</v>
      </c>
      <c r="D275" s="1" t="s">
        <v>17</v>
      </c>
      <c r="E275" s="1" t="s">
        <v>13</v>
      </c>
      <c r="F275" s="1" t="s">
        <v>27</v>
      </c>
      <c r="G275" s="1">
        <v>98.52</v>
      </c>
      <c r="H275" s="1">
        <v>10</v>
      </c>
      <c r="I275" s="1">
        <f t="shared" si="8"/>
        <v>49.26</v>
      </c>
      <c r="J275">
        <f t="shared" si="9"/>
        <v>1034.46</v>
      </c>
    </row>
    <row r="276" spans="1:10" x14ac:dyDescent="0.3">
      <c r="A276" s="1" t="s">
        <v>9</v>
      </c>
      <c r="B276" s="1" t="s">
        <v>298</v>
      </c>
      <c r="C276" s="1" t="s">
        <v>11</v>
      </c>
      <c r="D276" s="1" t="s">
        <v>12</v>
      </c>
      <c r="E276" s="1" t="s">
        <v>13</v>
      </c>
      <c r="F276" s="1" t="s">
        <v>22</v>
      </c>
      <c r="G276" s="1">
        <v>72.42</v>
      </c>
      <c r="H276" s="1">
        <v>3</v>
      </c>
      <c r="I276" s="1">
        <f t="shared" si="8"/>
        <v>10.863</v>
      </c>
      <c r="J276">
        <f t="shared" si="9"/>
        <v>228.12299999999999</v>
      </c>
    </row>
    <row r="277" spans="1:10" x14ac:dyDescent="0.3">
      <c r="A277" s="1" t="s">
        <v>9</v>
      </c>
      <c r="B277" s="1" t="s">
        <v>299</v>
      </c>
      <c r="C277" s="1" t="s">
        <v>25</v>
      </c>
      <c r="D277" s="1" t="s">
        <v>26</v>
      </c>
      <c r="E277" s="1" t="s">
        <v>18</v>
      </c>
      <c r="F277" s="1" t="s">
        <v>19</v>
      </c>
      <c r="G277" s="1">
        <v>42.42</v>
      </c>
      <c r="H277" s="1">
        <v>8</v>
      </c>
      <c r="I277" s="1">
        <f t="shared" si="8"/>
        <v>16.968</v>
      </c>
      <c r="J277">
        <f t="shared" si="9"/>
        <v>356.32800000000003</v>
      </c>
    </row>
    <row r="278" spans="1:10" x14ac:dyDescent="0.3">
      <c r="A278" s="1" t="s">
        <v>9</v>
      </c>
      <c r="B278" s="1" t="s">
        <v>300</v>
      </c>
      <c r="C278" s="1" t="s">
        <v>11</v>
      </c>
      <c r="D278" s="1" t="s">
        <v>12</v>
      </c>
      <c r="E278" s="1" t="s">
        <v>18</v>
      </c>
      <c r="F278" s="1" t="s">
        <v>27</v>
      </c>
      <c r="G278" s="1">
        <v>81.209999999999994</v>
      </c>
      <c r="H278" s="1">
        <v>10</v>
      </c>
      <c r="I278" s="1">
        <f t="shared" si="8"/>
        <v>40.604999999999997</v>
      </c>
      <c r="J278">
        <f t="shared" si="9"/>
        <v>852.70499999999993</v>
      </c>
    </row>
    <row r="279" spans="1:10" x14ac:dyDescent="0.3">
      <c r="A279" s="1" t="s">
        <v>9</v>
      </c>
      <c r="B279" s="1" t="s">
        <v>301</v>
      </c>
      <c r="C279" s="1" t="s">
        <v>16</v>
      </c>
      <c r="D279" s="1" t="s">
        <v>17</v>
      </c>
      <c r="E279" s="1" t="s">
        <v>18</v>
      </c>
      <c r="F279" s="1" t="s">
        <v>33</v>
      </c>
      <c r="G279" s="1">
        <v>49.33</v>
      </c>
      <c r="H279" s="1">
        <v>10</v>
      </c>
      <c r="I279" s="1">
        <f t="shared" si="8"/>
        <v>24.664999999999999</v>
      </c>
      <c r="J279">
        <f t="shared" si="9"/>
        <v>517.96499999999992</v>
      </c>
    </row>
    <row r="280" spans="1:10" x14ac:dyDescent="0.3">
      <c r="A280" s="1" t="s">
        <v>9</v>
      </c>
      <c r="B280" s="1" t="s">
        <v>302</v>
      </c>
      <c r="C280" s="1" t="s">
        <v>11</v>
      </c>
      <c r="D280" s="1" t="s">
        <v>12</v>
      </c>
      <c r="E280" s="1" t="s">
        <v>18</v>
      </c>
      <c r="F280" s="1" t="s">
        <v>29</v>
      </c>
      <c r="G280" s="1">
        <v>65.739999999999995</v>
      </c>
      <c r="H280" s="1">
        <v>9</v>
      </c>
      <c r="I280" s="1">
        <f t="shared" si="8"/>
        <v>29.582999999999998</v>
      </c>
      <c r="J280">
        <f t="shared" si="9"/>
        <v>621.24299999999994</v>
      </c>
    </row>
    <row r="281" spans="1:10" x14ac:dyDescent="0.3">
      <c r="A281" s="1" t="s">
        <v>9</v>
      </c>
      <c r="B281" s="1" t="s">
        <v>303</v>
      </c>
      <c r="C281" s="1" t="s">
        <v>25</v>
      </c>
      <c r="D281" s="1" t="s">
        <v>26</v>
      </c>
      <c r="E281" s="1" t="s">
        <v>18</v>
      </c>
      <c r="F281" s="1" t="s">
        <v>29</v>
      </c>
      <c r="G281" s="1">
        <v>79.86</v>
      </c>
      <c r="H281" s="1">
        <v>7</v>
      </c>
      <c r="I281" s="1">
        <f t="shared" ref="I281:I344" si="10">(G281*H281)*5%</f>
        <v>27.951000000000001</v>
      </c>
      <c r="J281">
        <f t="shared" si="9"/>
        <v>586.971</v>
      </c>
    </row>
    <row r="282" spans="1:10" x14ac:dyDescent="0.3">
      <c r="A282" s="1" t="s">
        <v>9</v>
      </c>
      <c r="B282" s="1" t="s">
        <v>304</v>
      </c>
      <c r="C282" s="1" t="s">
        <v>16</v>
      </c>
      <c r="D282" s="1" t="s">
        <v>17</v>
      </c>
      <c r="E282" s="1" t="s">
        <v>18</v>
      </c>
      <c r="F282" s="1" t="s">
        <v>33</v>
      </c>
      <c r="G282" s="1">
        <v>73.98</v>
      </c>
      <c r="H282" s="1">
        <v>7</v>
      </c>
      <c r="I282" s="1">
        <f t="shared" si="10"/>
        <v>25.893000000000001</v>
      </c>
      <c r="J282">
        <f t="shared" si="9"/>
        <v>543.75300000000004</v>
      </c>
    </row>
    <row r="283" spans="1:10" x14ac:dyDescent="0.3">
      <c r="A283" s="1" t="s">
        <v>9</v>
      </c>
      <c r="B283" s="1" t="s">
        <v>305</v>
      </c>
      <c r="C283" s="1" t="s">
        <v>25</v>
      </c>
      <c r="D283" s="1" t="s">
        <v>26</v>
      </c>
      <c r="E283" s="1" t="s">
        <v>13</v>
      </c>
      <c r="F283" s="1" t="s">
        <v>22</v>
      </c>
      <c r="G283" s="1">
        <v>82.04</v>
      </c>
      <c r="H283" s="1">
        <v>5</v>
      </c>
      <c r="I283" s="1">
        <f t="shared" si="10"/>
        <v>20.510000000000005</v>
      </c>
      <c r="J283">
        <f t="shared" si="9"/>
        <v>430.71000000000004</v>
      </c>
    </row>
    <row r="284" spans="1:10" x14ac:dyDescent="0.3">
      <c r="A284" s="1" t="s">
        <v>9</v>
      </c>
      <c r="B284" s="1" t="s">
        <v>306</v>
      </c>
      <c r="C284" s="1" t="s">
        <v>11</v>
      </c>
      <c r="D284" s="1" t="s">
        <v>12</v>
      </c>
      <c r="E284" s="1" t="s">
        <v>18</v>
      </c>
      <c r="F284" s="1" t="s">
        <v>14</v>
      </c>
      <c r="G284" s="1">
        <v>64.27</v>
      </c>
      <c r="H284" s="1">
        <v>4</v>
      </c>
      <c r="I284" s="1">
        <f t="shared" si="10"/>
        <v>12.853999999999999</v>
      </c>
      <c r="J284">
        <f t="shared" si="9"/>
        <v>269.93399999999997</v>
      </c>
    </row>
    <row r="285" spans="1:10" x14ac:dyDescent="0.3">
      <c r="A285" s="1" t="s">
        <v>9</v>
      </c>
      <c r="B285" s="1" t="s">
        <v>307</v>
      </c>
      <c r="C285" s="1" t="s">
        <v>11</v>
      </c>
      <c r="D285" s="1" t="s">
        <v>12</v>
      </c>
      <c r="E285" s="1" t="s">
        <v>13</v>
      </c>
      <c r="F285" s="1" t="s">
        <v>14</v>
      </c>
      <c r="G285" s="1">
        <v>77.680000000000007</v>
      </c>
      <c r="H285" s="1">
        <v>4</v>
      </c>
      <c r="I285" s="1">
        <f t="shared" si="10"/>
        <v>15.536000000000001</v>
      </c>
      <c r="J285">
        <f t="shared" si="9"/>
        <v>326.25600000000003</v>
      </c>
    </row>
    <row r="286" spans="1:10" x14ac:dyDescent="0.3">
      <c r="A286" s="1" t="s">
        <v>9</v>
      </c>
      <c r="B286" s="1" t="s">
        <v>308</v>
      </c>
      <c r="C286" s="1" t="s">
        <v>16</v>
      </c>
      <c r="D286" s="1" t="s">
        <v>17</v>
      </c>
      <c r="E286" s="1" t="s">
        <v>13</v>
      </c>
      <c r="F286" s="1" t="s">
        <v>29</v>
      </c>
      <c r="G286" s="1">
        <v>92.98</v>
      </c>
      <c r="H286" s="1">
        <v>2</v>
      </c>
      <c r="I286" s="1">
        <f t="shared" si="10"/>
        <v>9.298</v>
      </c>
      <c r="J286">
        <f t="shared" si="9"/>
        <v>195.25800000000001</v>
      </c>
    </row>
    <row r="287" spans="1:10" x14ac:dyDescent="0.3">
      <c r="A287" s="1" t="s">
        <v>9</v>
      </c>
      <c r="B287" s="1" t="s">
        <v>309</v>
      </c>
      <c r="C287" s="1" t="s">
        <v>25</v>
      </c>
      <c r="D287" s="1" t="s">
        <v>26</v>
      </c>
      <c r="E287" s="1" t="s">
        <v>13</v>
      </c>
      <c r="F287" s="1" t="s">
        <v>29</v>
      </c>
      <c r="G287" s="1">
        <v>18.079999999999998</v>
      </c>
      <c r="H287" s="1">
        <v>4</v>
      </c>
      <c r="I287" s="1">
        <f t="shared" si="10"/>
        <v>3.6159999999999997</v>
      </c>
      <c r="J287">
        <f t="shared" si="9"/>
        <v>75.935999999999993</v>
      </c>
    </row>
    <row r="288" spans="1:10" x14ac:dyDescent="0.3">
      <c r="A288" s="1" t="s">
        <v>9</v>
      </c>
      <c r="B288" s="1" t="s">
        <v>310</v>
      </c>
      <c r="C288" s="1" t="s">
        <v>11</v>
      </c>
      <c r="D288" s="1" t="s">
        <v>12</v>
      </c>
      <c r="E288" s="1" t="s">
        <v>18</v>
      </c>
      <c r="F288" s="1" t="s">
        <v>27</v>
      </c>
      <c r="G288" s="1">
        <v>52.34</v>
      </c>
      <c r="H288" s="1">
        <v>3</v>
      </c>
      <c r="I288" s="1">
        <f t="shared" si="10"/>
        <v>7.8510000000000009</v>
      </c>
      <c r="J288">
        <f t="shared" si="9"/>
        <v>164.87100000000001</v>
      </c>
    </row>
    <row r="289" spans="1:10" x14ac:dyDescent="0.3">
      <c r="A289" s="1" t="s">
        <v>9</v>
      </c>
      <c r="B289" s="1" t="s">
        <v>311</v>
      </c>
      <c r="C289" s="1" t="s">
        <v>11</v>
      </c>
      <c r="D289" s="1" t="s">
        <v>12</v>
      </c>
      <c r="E289" s="1" t="s">
        <v>18</v>
      </c>
      <c r="F289" s="1" t="s">
        <v>33</v>
      </c>
      <c r="G289" s="1">
        <v>43.06</v>
      </c>
      <c r="H289" s="1">
        <v>5</v>
      </c>
      <c r="I289" s="1">
        <f t="shared" si="10"/>
        <v>10.765000000000001</v>
      </c>
      <c r="J289">
        <f t="shared" si="9"/>
        <v>226.065</v>
      </c>
    </row>
    <row r="290" spans="1:10" x14ac:dyDescent="0.3">
      <c r="A290" s="1" t="s">
        <v>9</v>
      </c>
      <c r="B290" s="1" t="s">
        <v>312</v>
      </c>
      <c r="C290" s="1" t="s">
        <v>16</v>
      </c>
      <c r="D290" s="1" t="s">
        <v>17</v>
      </c>
      <c r="E290" s="1" t="s">
        <v>13</v>
      </c>
      <c r="F290" s="1" t="s">
        <v>22</v>
      </c>
      <c r="G290" s="1">
        <v>24.24</v>
      </c>
      <c r="H290" s="1">
        <v>7</v>
      </c>
      <c r="I290" s="1">
        <f t="shared" si="10"/>
        <v>8.484</v>
      </c>
      <c r="J290">
        <f t="shared" si="9"/>
        <v>178.16399999999999</v>
      </c>
    </row>
    <row r="291" spans="1:10" x14ac:dyDescent="0.3">
      <c r="A291" s="1" t="s">
        <v>9</v>
      </c>
      <c r="B291" s="1" t="s">
        <v>313</v>
      </c>
      <c r="C291" s="1" t="s">
        <v>11</v>
      </c>
      <c r="D291" s="1" t="s">
        <v>12</v>
      </c>
      <c r="E291" s="1" t="s">
        <v>13</v>
      </c>
      <c r="F291" s="1" t="s">
        <v>33</v>
      </c>
      <c r="G291" s="1">
        <v>45.58</v>
      </c>
      <c r="H291" s="1">
        <v>1</v>
      </c>
      <c r="I291" s="1">
        <f t="shared" si="10"/>
        <v>2.2789999999999999</v>
      </c>
      <c r="J291">
        <f t="shared" si="9"/>
        <v>47.858999999999995</v>
      </c>
    </row>
    <row r="292" spans="1:10" x14ac:dyDescent="0.3">
      <c r="A292" s="1" t="s">
        <v>9</v>
      </c>
      <c r="B292" s="1" t="s">
        <v>314</v>
      </c>
      <c r="C292" s="1" t="s">
        <v>11</v>
      </c>
      <c r="D292" s="1" t="s">
        <v>12</v>
      </c>
      <c r="E292" s="1" t="s">
        <v>13</v>
      </c>
      <c r="F292" s="1" t="s">
        <v>33</v>
      </c>
      <c r="G292" s="1">
        <v>75.2</v>
      </c>
      <c r="H292" s="1">
        <v>3</v>
      </c>
      <c r="I292" s="1">
        <f t="shared" si="10"/>
        <v>11.280000000000001</v>
      </c>
      <c r="J292">
        <f t="shared" si="9"/>
        <v>236.88000000000002</v>
      </c>
    </row>
    <row r="293" spans="1:10" x14ac:dyDescent="0.3">
      <c r="A293" s="1" t="s">
        <v>9</v>
      </c>
      <c r="B293" s="1" t="s">
        <v>315</v>
      </c>
      <c r="C293" s="1" t="s">
        <v>16</v>
      </c>
      <c r="D293" s="1" t="s">
        <v>17</v>
      </c>
      <c r="E293" s="1" t="s">
        <v>18</v>
      </c>
      <c r="F293" s="1" t="s">
        <v>33</v>
      </c>
      <c r="G293" s="1">
        <v>46.66</v>
      </c>
      <c r="H293" s="1">
        <v>9</v>
      </c>
      <c r="I293" s="1">
        <f t="shared" si="10"/>
        <v>20.997</v>
      </c>
      <c r="J293">
        <f t="shared" si="9"/>
        <v>440.93699999999995</v>
      </c>
    </row>
    <row r="294" spans="1:10" x14ac:dyDescent="0.3">
      <c r="A294" s="1" t="s">
        <v>9</v>
      </c>
      <c r="B294" s="1" t="s">
        <v>316</v>
      </c>
      <c r="C294" s="1" t="s">
        <v>16</v>
      </c>
      <c r="D294" s="1" t="s">
        <v>17</v>
      </c>
      <c r="E294" s="1" t="s">
        <v>18</v>
      </c>
      <c r="F294" s="1" t="s">
        <v>29</v>
      </c>
      <c r="G294" s="1">
        <v>36.85</v>
      </c>
      <c r="H294" s="1">
        <v>5</v>
      </c>
      <c r="I294" s="1">
        <f t="shared" si="10"/>
        <v>9.2125000000000004</v>
      </c>
      <c r="J294">
        <f t="shared" si="9"/>
        <v>193.46250000000001</v>
      </c>
    </row>
    <row r="295" spans="1:10" x14ac:dyDescent="0.3">
      <c r="A295" s="1" t="s">
        <v>9</v>
      </c>
      <c r="B295" s="1" t="s">
        <v>317</v>
      </c>
      <c r="C295" s="1" t="s">
        <v>11</v>
      </c>
      <c r="D295" s="1" t="s">
        <v>12</v>
      </c>
      <c r="E295" s="1" t="s">
        <v>13</v>
      </c>
      <c r="F295" s="1" t="s">
        <v>22</v>
      </c>
      <c r="G295" s="1">
        <v>70.319999999999993</v>
      </c>
      <c r="H295" s="1">
        <v>2</v>
      </c>
      <c r="I295" s="1">
        <f t="shared" si="10"/>
        <v>7.032</v>
      </c>
      <c r="J295">
        <f t="shared" si="9"/>
        <v>147.672</v>
      </c>
    </row>
    <row r="296" spans="1:10" x14ac:dyDescent="0.3">
      <c r="A296" s="1" t="s">
        <v>9</v>
      </c>
      <c r="B296" s="1" t="s">
        <v>318</v>
      </c>
      <c r="C296" s="1" t="s">
        <v>16</v>
      </c>
      <c r="D296" s="1" t="s">
        <v>17</v>
      </c>
      <c r="E296" s="1" t="s">
        <v>18</v>
      </c>
      <c r="F296" s="1" t="s">
        <v>29</v>
      </c>
      <c r="G296" s="1">
        <v>64.989999999999995</v>
      </c>
      <c r="H296" s="1">
        <v>1</v>
      </c>
      <c r="I296" s="1">
        <f t="shared" si="10"/>
        <v>3.2494999999999998</v>
      </c>
      <c r="J296">
        <f t="shared" si="9"/>
        <v>68.239499999999992</v>
      </c>
    </row>
    <row r="297" spans="1:10" x14ac:dyDescent="0.3">
      <c r="A297" s="1" t="s">
        <v>9</v>
      </c>
      <c r="B297" s="1" t="s">
        <v>319</v>
      </c>
      <c r="C297" s="1" t="s">
        <v>25</v>
      </c>
      <c r="D297" s="1" t="s">
        <v>26</v>
      </c>
      <c r="E297" s="1" t="s">
        <v>18</v>
      </c>
      <c r="F297" s="1" t="s">
        <v>33</v>
      </c>
      <c r="G297" s="1">
        <v>54.51</v>
      </c>
      <c r="H297" s="1">
        <v>6</v>
      </c>
      <c r="I297" s="1">
        <f t="shared" si="10"/>
        <v>16.353000000000002</v>
      </c>
      <c r="J297">
        <f t="shared" si="9"/>
        <v>343.41300000000001</v>
      </c>
    </row>
    <row r="298" spans="1:10" x14ac:dyDescent="0.3">
      <c r="A298" s="1" t="s">
        <v>9</v>
      </c>
      <c r="B298" s="1" t="s">
        <v>320</v>
      </c>
      <c r="C298" s="1" t="s">
        <v>16</v>
      </c>
      <c r="D298" s="1" t="s">
        <v>17</v>
      </c>
      <c r="E298" s="1" t="s">
        <v>13</v>
      </c>
      <c r="F298" s="1" t="s">
        <v>29</v>
      </c>
      <c r="G298" s="1">
        <v>51.89</v>
      </c>
      <c r="H298" s="1">
        <v>7</v>
      </c>
      <c r="I298" s="1">
        <f t="shared" si="10"/>
        <v>18.1615</v>
      </c>
      <c r="J298">
        <f t="shared" si="9"/>
        <v>381.39150000000001</v>
      </c>
    </row>
    <row r="299" spans="1:10" x14ac:dyDescent="0.3">
      <c r="A299" s="1" t="s">
        <v>9</v>
      </c>
      <c r="B299" s="1" t="s">
        <v>321</v>
      </c>
      <c r="C299" s="1" t="s">
        <v>11</v>
      </c>
      <c r="D299" s="1" t="s">
        <v>12</v>
      </c>
      <c r="E299" s="1" t="s">
        <v>13</v>
      </c>
      <c r="F299" s="1" t="s">
        <v>29</v>
      </c>
      <c r="G299" s="1">
        <v>53.65</v>
      </c>
      <c r="H299" s="1">
        <v>7</v>
      </c>
      <c r="I299" s="1">
        <f t="shared" si="10"/>
        <v>18.7775</v>
      </c>
      <c r="J299">
        <f t="shared" si="9"/>
        <v>394.32749999999999</v>
      </c>
    </row>
    <row r="300" spans="1:10" x14ac:dyDescent="0.3">
      <c r="A300" s="1" t="s">
        <v>9</v>
      </c>
      <c r="B300" s="1" t="s">
        <v>322</v>
      </c>
      <c r="C300" s="1" t="s">
        <v>16</v>
      </c>
      <c r="D300" s="1" t="s">
        <v>17</v>
      </c>
      <c r="E300" s="1" t="s">
        <v>13</v>
      </c>
      <c r="F300" s="1" t="s">
        <v>27</v>
      </c>
      <c r="G300" s="1">
        <v>49.79</v>
      </c>
      <c r="H300" s="1">
        <v>4</v>
      </c>
      <c r="I300" s="1">
        <f t="shared" si="10"/>
        <v>9.9580000000000002</v>
      </c>
      <c r="J300">
        <f t="shared" si="9"/>
        <v>209.11799999999999</v>
      </c>
    </row>
    <row r="301" spans="1:10" x14ac:dyDescent="0.3">
      <c r="A301" s="1" t="s">
        <v>9</v>
      </c>
      <c r="B301" s="1" t="s">
        <v>323</v>
      </c>
      <c r="C301" s="1" t="s">
        <v>11</v>
      </c>
      <c r="D301" s="1" t="s">
        <v>12</v>
      </c>
      <c r="E301" s="1" t="s">
        <v>18</v>
      </c>
      <c r="F301" s="1" t="s">
        <v>19</v>
      </c>
      <c r="G301" s="1">
        <v>28.96</v>
      </c>
      <c r="H301" s="1">
        <v>1</v>
      </c>
      <c r="I301" s="1">
        <f t="shared" si="10"/>
        <v>1.4480000000000002</v>
      </c>
      <c r="J301">
        <f t="shared" si="9"/>
        <v>30.408000000000001</v>
      </c>
    </row>
    <row r="302" spans="1:10" x14ac:dyDescent="0.3">
      <c r="A302" s="1" t="s">
        <v>9</v>
      </c>
      <c r="B302" s="1" t="s">
        <v>324</v>
      </c>
      <c r="C302" s="1" t="s">
        <v>16</v>
      </c>
      <c r="D302" s="1" t="s">
        <v>17</v>
      </c>
      <c r="E302" s="1" t="s">
        <v>13</v>
      </c>
      <c r="F302" s="1" t="s">
        <v>27</v>
      </c>
      <c r="G302" s="1">
        <v>98.97</v>
      </c>
      <c r="H302" s="1">
        <v>9</v>
      </c>
      <c r="I302" s="1">
        <f t="shared" si="10"/>
        <v>44.536500000000004</v>
      </c>
      <c r="J302">
        <f t="shared" si="9"/>
        <v>935.26650000000006</v>
      </c>
    </row>
    <row r="303" spans="1:10" x14ac:dyDescent="0.3">
      <c r="A303" s="1" t="s">
        <v>9</v>
      </c>
      <c r="B303" s="1" t="s">
        <v>325</v>
      </c>
      <c r="C303" s="1" t="s">
        <v>11</v>
      </c>
      <c r="D303" s="1" t="s">
        <v>12</v>
      </c>
      <c r="E303" s="1" t="s">
        <v>13</v>
      </c>
      <c r="F303" s="1" t="s">
        <v>33</v>
      </c>
      <c r="G303" s="1">
        <v>38.72</v>
      </c>
      <c r="H303" s="1">
        <v>9</v>
      </c>
      <c r="I303" s="1">
        <f t="shared" si="10"/>
        <v>17.424000000000003</v>
      </c>
      <c r="J303">
        <f t="shared" si="9"/>
        <v>365.904</v>
      </c>
    </row>
    <row r="304" spans="1:10" x14ac:dyDescent="0.3">
      <c r="A304" s="1" t="s">
        <v>9</v>
      </c>
      <c r="B304" s="1" t="s">
        <v>326</v>
      </c>
      <c r="C304" s="1" t="s">
        <v>16</v>
      </c>
      <c r="D304" s="1" t="s">
        <v>17</v>
      </c>
      <c r="E304" s="1" t="s">
        <v>13</v>
      </c>
      <c r="F304" s="1" t="s">
        <v>29</v>
      </c>
      <c r="G304" s="1">
        <v>43.46</v>
      </c>
      <c r="H304" s="1">
        <v>6</v>
      </c>
      <c r="I304" s="1">
        <f t="shared" si="10"/>
        <v>13.038</v>
      </c>
      <c r="J304">
        <f t="shared" si="9"/>
        <v>273.798</v>
      </c>
    </row>
    <row r="305" spans="1:10" x14ac:dyDescent="0.3">
      <c r="A305" s="1" t="s">
        <v>9</v>
      </c>
      <c r="B305" s="1" t="s">
        <v>327</v>
      </c>
      <c r="C305" s="1" t="s">
        <v>11</v>
      </c>
      <c r="D305" s="1" t="s">
        <v>12</v>
      </c>
      <c r="E305" s="1" t="s">
        <v>18</v>
      </c>
      <c r="F305" s="1" t="s">
        <v>27</v>
      </c>
      <c r="G305" s="1">
        <v>71.680000000000007</v>
      </c>
      <c r="H305" s="1">
        <v>3</v>
      </c>
      <c r="I305" s="1">
        <f t="shared" si="10"/>
        <v>10.752000000000002</v>
      </c>
      <c r="J305">
        <f t="shared" si="9"/>
        <v>225.79200000000003</v>
      </c>
    </row>
    <row r="306" spans="1:10" x14ac:dyDescent="0.3">
      <c r="A306" s="1" t="s">
        <v>9</v>
      </c>
      <c r="B306" s="1" t="s">
        <v>328</v>
      </c>
      <c r="C306" s="1" t="s">
        <v>11</v>
      </c>
      <c r="D306" s="1" t="s">
        <v>12</v>
      </c>
      <c r="E306" s="1" t="s">
        <v>13</v>
      </c>
      <c r="F306" s="1" t="s">
        <v>27</v>
      </c>
      <c r="G306" s="1">
        <v>91.61</v>
      </c>
      <c r="H306" s="1">
        <v>1</v>
      </c>
      <c r="I306" s="1">
        <f t="shared" si="10"/>
        <v>4.5804999999999998</v>
      </c>
      <c r="J306">
        <f t="shared" si="9"/>
        <v>96.1905</v>
      </c>
    </row>
    <row r="307" spans="1:10" x14ac:dyDescent="0.3">
      <c r="A307" s="1" t="s">
        <v>9</v>
      </c>
      <c r="B307" s="1" t="s">
        <v>329</v>
      </c>
      <c r="C307" s="1" t="s">
        <v>25</v>
      </c>
      <c r="D307" s="1" t="s">
        <v>26</v>
      </c>
      <c r="E307" s="1" t="s">
        <v>13</v>
      </c>
      <c r="F307" s="1" t="s">
        <v>22</v>
      </c>
      <c r="G307" s="1">
        <v>94.59</v>
      </c>
      <c r="H307" s="1">
        <v>7</v>
      </c>
      <c r="I307" s="1">
        <f t="shared" si="10"/>
        <v>33.106500000000004</v>
      </c>
      <c r="J307">
        <f t="shared" si="9"/>
        <v>695.23649999999998</v>
      </c>
    </row>
    <row r="308" spans="1:10" x14ac:dyDescent="0.3">
      <c r="A308" s="1" t="s">
        <v>9</v>
      </c>
      <c r="B308" s="1" t="s">
        <v>330</v>
      </c>
      <c r="C308" s="1" t="s">
        <v>25</v>
      </c>
      <c r="D308" s="1" t="s">
        <v>26</v>
      </c>
      <c r="E308" s="1" t="s">
        <v>18</v>
      </c>
      <c r="F308" s="1" t="s">
        <v>29</v>
      </c>
      <c r="G308" s="1">
        <v>83.25</v>
      </c>
      <c r="H308" s="1">
        <v>10</v>
      </c>
      <c r="I308" s="1">
        <f t="shared" si="10"/>
        <v>41.625</v>
      </c>
      <c r="J308">
        <f t="shared" si="9"/>
        <v>874.125</v>
      </c>
    </row>
    <row r="309" spans="1:10" x14ac:dyDescent="0.3">
      <c r="A309" s="1" t="s">
        <v>9</v>
      </c>
      <c r="B309" s="1" t="s">
        <v>331</v>
      </c>
      <c r="C309" s="1" t="s">
        <v>25</v>
      </c>
      <c r="D309" s="1" t="s">
        <v>26</v>
      </c>
      <c r="E309" s="1" t="s">
        <v>13</v>
      </c>
      <c r="F309" s="1" t="s">
        <v>27</v>
      </c>
      <c r="G309" s="1">
        <v>78.88</v>
      </c>
      <c r="H309" s="1">
        <v>2</v>
      </c>
      <c r="I309" s="1">
        <f t="shared" si="10"/>
        <v>7.8879999999999999</v>
      </c>
      <c r="J309">
        <f t="shared" si="9"/>
        <v>165.648</v>
      </c>
    </row>
    <row r="310" spans="1:10" x14ac:dyDescent="0.3">
      <c r="A310" s="1" t="s">
        <v>9</v>
      </c>
      <c r="B310" s="1" t="s">
        <v>332</v>
      </c>
      <c r="C310" s="1" t="s">
        <v>11</v>
      </c>
      <c r="D310" s="1" t="s">
        <v>12</v>
      </c>
      <c r="E310" s="1" t="s">
        <v>18</v>
      </c>
      <c r="F310" s="1" t="s">
        <v>29</v>
      </c>
      <c r="G310" s="1">
        <v>12.09</v>
      </c>
      <c r="H310" s="1">
        <v>1</v>
      </c>
      <c r="I310" s="1">
        <f t="shared" si="10"/>
        <v>0.60450000000000004</v>
      </c>
      <c r="J310">
        <f t="shared" si="9"/>
        <v>12.6945</v>
      </c>
    </row>
    <row r="311" spans="1:10" x14ac:dyDescent="0.3">
      <c r="A311" s="1" t="s">
        <v>9</v>
      </c>
      <c r="B311" s="1" t="s">
        <v>333</v>
      </c>
      <c r="C311" s="1" t="s">
        <v>16</v>
      </c>
      <c r="D311" s="1" t="s">
        <v>17</v>
      </c>
      <c r="E311" s="1" t="s">
        <v>18</v>
      </c>
      <c r="F311" s="1" t="s">
        <v>19</v>
      </c>
      <c r="G311" s="1">
        <v>46.2</v>
      </c>
      <c r="H311" s="1">
        <v>1</v>
      </c>
      <c r="I311" s="1">
        <f t="shared" si="10"/>
        <v>2.31</v>
      </c>
      <c r="J311">
        <f t="shared" si="9"/>
        <v>48.510000000000005</v>
      </c>
    </row>
    <row r="312" spans="1:10" x14ac:dyDescent="0.3">
      <c r="A312" s="1" t="s">
        <v>9</v>
      </c>
      <c r="B312" s="1" t="s">
        <v>334</v>
      </c>
      <c r="C312" s="1" t="s">
        <v>25</v>
      </c>
      <c r="D312" s="1" t="s">
        <v>26</v>
      </c>
      <c r="E312" s="1" t="s">
        <v>13</v>
      </c>
      <c r="F312" s="1" t="s">
        <v>27</v>
      </c>
      <c r="G312" s="1">
        <v>17.63</v>
      </c>
      <c r="H312" s="1">
        <v>5</v>
      </c>
      <c r="I312" s="1">
        <f t="shared" si="10"/>
        <v>4.4074999999999998</v>
      </c>
      <c r="J312">
        <f t="shared" si="9"/>
        <v>92.55749999999999</v>
      </c>
    </row>
    <row r="313" spans="1:10" x14ac:dyDescent="0.3">
      <c r="A313" s="1" t="s">
        <v>9</v>
      </c>
      <c r="B313" s="1" t="s">
        <v>335</v>
      </c>
      <c r="C313" s="1" t="s">
        <v>25</v>
      </c>
      <c r="D313" s="1" t="s">
        <v>26</v>
      </c>
      <c r="E313" s="1" t="s">
        <v>13</v>
      </c>
      <c r="F313" s="1" t="s">
        <v>27</v>
      </c>
      <c r="G313" s="1">
        <v>98.79</v>
      </c>
      <c r="H313" s="1">
        <v>3</v>
      </c>
      <c r="I313" s="1">
        <f t="shared" si="10"/>
        <v>14.8185</v>
      </c>
      <c r="J313">
        <f t="shared" si="9"/>
        <v>311.18849999999998</v>
      </c>
    </row>
    <row r="314" spans="1:10" x14ac:dyDescent="0.3">
      <c r="A314" s="1" t="s">
        <v>9</v>
      </c>
      <c r="B314" s="1" t="s">
        <v>336</v>
      </c>
      <c r="C314" s="1" t="s">
        <v>16</v>
      </c>
      <c r="D314" s="1" t="s">
        <v>17</v>
      </c>
      <c r="E314" s="1" t="s">
        <v>13</v>
      </c>
      <c r="F314" s="1" t="s">
        <v>19</v>
      </c>
      <c r="G314" s="1">
        <v>88.55</v>
      </c>
      <c r="H314" s="1">
        <v>8</v>
      </c>
      <c r="I314" s="1">
        <f t="shared" si="10"/>
        <v>35.42</v>
      </c>
      <c r="J314">
        <f t="shared" si="9"/>
        <v>743.81999999999994</v>
      </c>
    </row>
    <row r="315" spans="1:10" x14ac:dyDescent="0.3">
      <c r="A315" s="1" t="s">
        <v>9</v>
      </c>
      <c r="B315" s="1" t="s">
        <v>337</v>
      </c>
      <c r="C315" s="1" t="s">
        <v>16</v>
      </c>
      <c r="D315" s="1" t="s">
        <v>17</v>
      </c>
      <c r="E315" s="1" t="s">
        <v>13</v>
      </c>
      <c r="F315" s="1" t="s">
        <v>27</v>
      </c>
      <c r="G315" s="1">
        <v>72.52</v>
      </c>
      <c r="H315" s="1">
        <v>8</v>
      </c>
      <c r="I315" s="1">
        <f t="shared" si="10"/>
        <v>29.007999999999999</v>
      </c>
      <c r="J315">
        <f t="shared" si="9"/>
        <v>609.16800000000001</v>
      </c>
    </row>
    <row r="316" spans="1:10" x14ac:dyDescent="0.3">
      <c r="A316" s="1" t="s">
        <v>9</v>
      </c>
      <c r="B316" s="1" t="s">
        <v>338</v>
      </c>
      <c r="C316" s="1" t="s">
        <v>16</v>
      </c>
      <c r="D316" s="1" t="s">
        <v>17</v>
      </c>
      <c r="E316" s="1" t="s">
        <v>13</v>
      </c>
      <c r="F316" s="1" t="s">
        <v>33</v>
      </c>
      <c r="G316" s="1">
        <v>15.49</v>
      </c>
      <c r="H316" s="1">
        <v>2</v>
      </c>
      <c r="I316" s="1">
        <f t="shared" si="10"/>
        <v>1.5490000000000002</v>
      </c>
      <c r="J316">
        <f t="shared" si="9"/>
        <v>32.529000000000003</v>
      </c>
    </row>
    <row r="317" spans="1:10" x14ac:dyDescent="0.3">
      <c r="A317" s="1" t="s">
        <v>9</v>
      </c>
      <c r="B317" s="1" t="s">
        <v>339</v>
      </c>
      <c r="C317" s="1" t="s">
        <v>25</v>
      </c>
      <c r="D317" s="1" t="s">
        <v>26</v>
      </c>
      <c r="E317" s="1" t="s">
        <v>18</v>
      </c>
      <c r="F317" s="1" t="s">
        <v>14</v>
      </c>
      <c r="G317" s="1">
        <v>55.81</v>
      </c>
      <c r="H317" s="1">
        <v>6</v>
      </c>
      <c r="I317" s="1">
        <f t="shared" si="10"/>
        <v>16.743000000000002</v>
      </c>
      <c r="J317">
        <f t="shared" si="9"/>
        <v>351.60300000000001</v>
      </c>
    </row>
    <row r="318" spans="1:10" x14ac:dyDescent="0.3">
      <c r="A318" s="1" t="s">
        <v>9</v>
      </c>
      <c r="B318" s="1" t="s">
        <v>340</v>
      </c>
      <c r="C318" s="1" t="s">
        <v>11</v>
      </c>
      <c r="D318" s="1" t="s">
        <v>12</v>
      </c>
      <c r="E318" s="1" t="s">
        <v>18</v>
      </c>
      <c r="F318" s="1" t="s">
        <v>19</v>
      </c>
      <c r="G318" s="1">
        <v>15.69</v>
      </c>
      <c r="H318" s="1">
        <v>3</v>
      </c>
      <c r="I318" s="1">
        <f t="shared" si="10"/>
        <v>2.3534999999999999</v>
      </c>
      <c r="J318">
        <f t="shared" si="9"/>
        <v>49.423499999999997</v>
      </c>
    </row>
    <row r="319" spans="1:10" x14ac:dyDescent="0.3">
      <c r="A319" s="1" t="s">
        <v>9</v>
      </c>
      <c r="B319" s="1" t="s">
        <v>341</v>
      </c>
      <c r="C319" s="1" t="s">
        <v>16</v>
      </c>
      <c r="D319" s="1" t="s">
        <v>17</v>
      </c>
      <c r="E319" s="1" t="s">
        <v>18</v>
      </c>
      <c r="F319" s="1" t="s">
        <v>19</v>
      </c>
      <c r="G319" s="1">
        <v>99.69</v>
      </c>
      <c r="H319" s="1">
        <v>1</v>
      </c>
      <c r="I319" s="1">
        <f t="shared" si="10"/>
        <v>4.9845000000000006</v>
      </c>
      <c r="J319">
        <f t="shared" si="9"/>
        <v>104.67449999999999</v>
      </c>
    </row>
    <row r="320" spans="1:10" x14ac:dyDescent="0.3">
      <c r="A320" s="1" t="s">
        <v>9</v>
      </c>
      <c r="B320" s="1" t="s">
        <v>342</v>
      </c>
      <c r="C320" s="1" t="s">
        <v>11</v>
      </c>
      <c r="D320" s="1" t="s">
        <v>12</v>
      </c>
      <c r="E320" s="1" t="s">
        <v>13</v>
      </c>
      <c r="F320" s="1" t="s">
        <v>29</v>
      </c>
      <c r="G320" s="1">
        <v>88.15</v>
      </c>
      <c r="H320" s="1">
        <v>3</v>
      </c>
      <c r="I320" s="1">
        <f t="shared" si="10"/>
        <v>13.222500000000004</v>
      </c>
      <c r="J320">
        <f t="shared" si="9"/>
        <v>277.67250000000007</v>
      </c>
    </row>
    <row r="321" spans="1:10" x14ac:dyDescent="0.3">
      <c r="A321" s="1" t="s">
        <v>9</v>
      </c>
      <c r="B321" s="1" t="s">
        <v>343</v>
      </c>
      <c r="C321" s="1" t="s">
        <v>11</v>
      </c>
      <c r="D321" s="1" t="s">
        <v>12</v>
      </c>
      <c r="E321" s="1" t="s">
        <v>13</v>
      </c>
      <c r="F321" s="1" t="s">
        <v>33</v>
      </c>
      <c r="G321" s="1">
        <v>27.93</v>
      </c>
      <c r="H321" s="1">
        <v>5</v>
      </c>
      <c r="I321" s="1">
        <f t="shared" si="10"/>
        <v>6.9825000000000008</v>
      </c>
      <c r="J321">
        <f t="shared" si="9"/>
        <v>146.63249999999999</v>
      </c>
    </row>
    <row r="322" spans="1:10" x14ac:dyDescent="0.3">
      <c r="A322" s="1" t="s">
        <v>9</v>
      </c>
      <c r="B322" s="1" t="s">
        <v>344</v>
      </c>
      <c r="C322" s="1" t="s">
        <v>25</v>
      </c>
      <c r="D322" s="1" t="s">
        <v>26</v>
      </c>
      <c r="E322" s="1" t="s">
        <v>18</v>
      </c>
      <c r="F322" s="1" t="s">
        <v>33</v>
      </c>
      <c r="G322" s="1">
        <v>42.97</v>
      </c>
      <c r="H322" s="1">
        <v>3</v>
      </c>
      <c r="I322" s="1">
        <f t="shared" si="10"/>
        <v>6.4455</v>
      </c>
      <c r="J322">
        <f t="shared" si="9"/>
        <v>135.35550000000001</v>
      </c>
    </row>
    <row r="323" spans="1:10" x14ac:dyDescent="0.3">
      <c r="A323" s="1" t="s">
        <v>9</v>
      </c>
      <c r="B323" s="1" t="s">
        <v>345</v>
      </c>
      <c r="C323" s="1" t="s">
        <v>25</v>
      </c>
      <c r="D323" s="1" t="s">
        <v>26</v>
      </c>
      <c r="E323" s="1" t="s">
        <v>13</v>
      </c>
      <c r="F323" s="1" t="s">
        <v>29</v>
      </c>
      <c r="G323" s="1">
        <v>58.75</v>
      </c>
      <c r="H323" s="1">
        <v>6</v>
      </c>
      <c r="I323" s="1">
        <f t="shared" si="10"/>
        <v>17.625</v>
      </c>
      <c r="J323">
        <f t="shared" ref="J323:J386" si="11">(G323*H323)+I323</f>
        <v>370.125</v>
      </c>
    </row>
    <row r="324" spans="1:10" x14ac:dyDescent="0.3">
      <c r="A324" s="1" t="s">
        <v>9</v>
      </c>
      <c r="B324" s="1" t="s">
        <v>346</v>
      </c>
      <c r="C324" s="1" t="s">
        <v>16</v>
      </c>
      <c r="D324" s="1" t="s">
        <v>17</v>
      </c>
      <c r="E324" s="1" t="s">
        <v>13</v>
      </c>
      <c r="F324" s="1" t="s">
        <v>27</v>
      </c>
      <c r="G324" s="1">
        <v>87.1</v>
      </c>
      <c r="H324" s="1">
        <v>10</v>
      </c>
      <c r="I324" s="1">
        <f t="shared" si="10"/>
        <v>43.550000000000004</v>
      </c>
      <c r="J324">
        <f t="shared" si="11"/>
        <v>914.55</v>
      </c>
    </row>
    <row r="325" spans="1:10" x14ac:dyDescent="0.3">
      <c r="A325" s="1" t="s">
        <v>9</v>
      </c>
      <c r="B325" s="1" t="s">
        <v>347</v>
      </c>
      <c r="C325" s="1" t="s">
        <v>16</v>
      </c>
      <c r="D325" s="1" t="s">
        <v>17</v>
      </c>
      <c r="E325" s="1" t="s">
        <v>18</v>
      </c>
      <c r="F325" s="1" t="s">
        <v>33</v>
      </c>
      <c r="G325" s="1">
        <v>98.8</v>
      </c>
      <c r="H325" s="1">
        <v>2</v>
      </c>
      <c r="I325" s="1">
        <f t="shared" si="10"/>
        <v>9.8800000000000008</v>
      </c>
      <c r="J325">
        <f t="shared" si="11"/>
        <v>207.48</v>
      </c>
    </row>
    <row r="326" spans="1:10" x14ac:dyDescent="0.3">
      <c r="A326" s="1" t="s">
        <v>9</v>
      </c>
      <c r="B326" s="1" t="s">
        <v>348</v>
      </c>
      <c r="C326" s="1" t="s">
        <v>11</v>
      </c>
      <c r="D326" s="1" t="s">
        <v>12</v>
      </c>
      <c r="E326" s="1" t="s">
        <v>18</v>
      </c>
      <c r="F326" s="1" t="s">
        <v>29</v>
      </c>
      <c r="G326" s="1">
        <v>48.63</v>
      </c>
      <c r="H326" s="1">
        <v>4</v>
      </c>
      <c r="I326" s="1">
        <f t="shared" si="10"/>
        <v>9.7260000000000009</v>
      </c>
      <c r="J326">
        <f t="shared" si="11"/>
        <v>204.24600000000001</v>
      </c>
    </row>
    <row r="327" spans="1:10" x14ac:dyDescent="0.3">
      <c r="A327" s="1" t="s">
        <v>9</v>
      </c>
      <c r="B327" s="1" t="s">
        <v>349</v>
      </c>
      <c r="C327" s="1" t="s">
        <v>25</v>
      </c>
      <c r="D327" s="1" t="s">
        <v>26</v>
      </c>
      <c r="E327" s="1" t="s">
        <v>18</v>
      </c>
      <c r="F327" s="1" t="s">
        <v>14</v>
      </c>
      <c r="G327" s="1">
        <v>17.97</v>
      </c>
      <c r="H327" s="1">
        <v>4</v>
      </c>
      <c r="I327" s="1">
        <f t="shared" si="10"/>
        <v>3.5939999999999999</v>
      </c>
      <c r="J327">
        <f t="shared" si="11"/>
        <v>75.47399999999999</v>
      </c>
    </row>
    <row r="328" spans="1:10" x14ac:dyDescent="0.3">
      <c r="A328" s="1" t="s">
        <v>9</v>
      </c>
      <c r="B328" s="1" t="s">
        <v>350</v>
      </c>
      <c r="C328" s="1" t="s">
        <v>16</v>
      </c>
      <c r="D328" s="1" t="s">
        <v>17</v>
      </c>
      <c r="E328" s="1" t="s">
        <v>13</v>
      </c>
      <c r="F328" s="1" t="s">
        <v>14</v>
      </c>
      <c r="G328" s="1">
        <v>47.71</v>
      </c>
      <c r="H328" s="1">
        <v>6</v>
      </c>
      <c r="I328" s="1">
        <f t="shared" si="10"/>
        <v>14.313000000000001</v>
      </c>
      <c r="J328">
        <f t="shared" si="11"/>
        <v>300.57299999999998</v>
      </c>
    </row>
    <row r="329" spans="1:10" x14ac:dyDescent="0.3">
      <c r="A329" s="1" t="s">
        <v>9</v>
      </c>
      <c r="B329" s="1" t="s">
        <v>351</v>
      </c>
      <c r="C329" s="1" t="s">
        <v>25</v>
      </c>
      <c r="D329" s="1" t="s">
        <v>26</v>
      </c>
      <c r="E329" s="1" t="s">
        <v>18</v>
      </c>
      <c r="F329" s="1" t="s">
        <v>33</v>
      </c>
      <c r="G329" s="1">
        <v>40.619999999999997</v>
      </c>
      <c r="H329" s="1">
        <v>2</v>
      </c>
      <c r="I329" s="1">
        <f t="shared" si="10"/>
        <v>4.0620000000000003</v>
      </c>
      <c r="J329">
        <f t="shared" si="11"/>
        <v>85.301999999999992</v>
      </c>
    </row>
    <row r="330" spans="1:10" x14ac:dyDescent="0.3">
      <c r="A330" s="1" t="s">
        <v>9</v>
      </c>
      <c r="B330" s="1" t="s">
        <v>352</v>
      </c>
      <c r="C330" s="1" t="s">
        <v>25</v>
      </c>
      <c r="D330" s="1" t="s">
        <v>26</v>
      </c>
      <c r="E330" s="1" t="s">
        <v>18</v>
      </c>
      <c r="F330" s="1" t="s">
        <v>14</v>
      </c>
      <c r="G330" s="1">
        <v>73.41</v>
      </c>
      <c r="H330" s="1">
        <v>3</v>
      </c>
      <c r="I330" s="1">
        <f t="shared" si="10"/>
        <v>11.0115</v>
      </c>
      <c r="J330">
        <f t="shared" si="11"/>
        <v>231.2415</v>
      </c>
    </row>
    <row r="331" spans="1:10" x14ac:dyDescent="0.3">
      <c r="A331" s="1" t="s">
        <v>9</v>
      </c>
      <c r="B331" s="1" t="s">
        <v>353</v>
      </c>
      <c r="C331" s="1" t="s">
        <v>11</v>
      </c>
      <c r="D331" s="1" t="s">
        <v>12</v>
      </c>
      <c r="E331" s="1" t="s">
        <v>18</v>
      </c>
      <c r="F331" s="1" t="s">
        <v>19</v>
      </c>
      <c r="G331" s="1">
        <v>45.48</v>
      </c>
      <c r="H331" s="1">
        <v>10</v>
      </c>
      <c r="I331" s="1">
        <f t="shared" si="10"/>
        <v>22.74</v>
      </c>
      <c r="J331">
        <f t="shared" si="11"/>
        <v>477.53999999999996</v>
      </c>
    </row>
    <row r="332" spans="1:10" x14ac:dyDescent="0.3">
      <c r="A332" s="1" t="s">
        <v>9</v>
      </c>
      <c r="B332" s="1" t="s">
        <v>354</v>
      </c>
      <c r="C332" s="1" t="s">
        <v>25</v>
      </c>
      <c r="D332" s="1" t="s">
        <v>26</v>
      </c>
      <c r="E332" s="1" t="s">
        <v>13</v>
      </c>
      <c r="F332" s="1" t="s">
        <v>33</v>
      </c>
      <c r="G332" s="1">
        <v>64.08</v>
      </c>
      <c r="H332" s="1">
        <v>7</v>
      </c>
      <c r="I332" s="1">
        <f t="shared" si="10"/>
        <v>22.428000000000001</v>
      </c>
      <c r="J332">
        <f t="shared" si="11"/>
        <v>470.988</v>
      </c>
    </row>
    <row r="333" spans="1:10" x14ac:dyDescent="0.3">
      <c r="A333" s="1" t="s">
        <v>9</v>
      </c>
      <c r="B333" s="1" t="s">
        <v>355</v>
      </c>
      <c r="C333" s="1" t="s">
        <v>11</v>
      </c>
      <c r="D333" s="1" t="s">
        <v>12</v>
      </c>
      <c r="E333" s="1" t="s">
        <v>13</v>
      </c>
      <c r="F333" s="1" t="s">
        <v>27</v>
      </c>
      <c r="G333" s="1">
        <v>73.47</v>
      </c>
      <c r="H333" s="1">
        <v>4</v>
      </c>
      <c r="I333" s="1">
        <f t="shared" si="10"/>
        <v>14.694000000000001</v>
      </c>
      <c r="J333">
        <f t="shared" si="11"/>
        <v>308.57400000000001</v>
      </c>
    </row>
    <row r="334" spans="1:10" x14ac:dyDescent="0.3">
      <c r="A334" s="1" t="s">
        <v>9</v>
      </c>
      <c r="B334" s="1" t="s">
        <v>356</v>
      </c>
      <c r="C334" s="1" t="s">
        <v>25</v>
      </c>
      <c r="D334" s="1" t="s">
        <v>26</v>
      </c>
      <c r="E334" s="1" t="s">
        <v>13</v>
      </c>
      <c r="F334" s="1" t="s">
        <v>19</v>
      </c>
      <c r="G334" s="1">
        <v>39.479999999999997</v>
      </c>
      <c r="H334" s="1">
        <v>1</v>
      </c>
      <c r="I334" s="1">
        <f t="shared" si="10"/>
        <v>1.974</v>
      </c>
      <c r="J334">
        <f t="shared" si="11"/>
        <v>41.453999999999994</v>
      </c>
    </row>
    <row r="335" spans="1:10" x14ac:dyDescent="0.3">
      <c r="A335" s="1" t="s">
        <v>9</v>
      </c>
      <c r="B335" s="1" t="s">
        <v>357</v>
      </c>
      <c r="C335" s="1" t="s">
        <v>25</v>
      </c>
      <c r="D335" s="1" t="s">
        <v>26</v>
      </c>
      <c r="E335" s="1" t="s">
        <v>18</v>
      </c>
      <c r="F335" s="1" t="s">
        <v>33</v>
      </c>
      <c r="G335" s="1">
        <v>34.81</v>
      </c>
      <c r="H335" s="1">
        <v>1</v>
      </c>
      <c r="I335" s="1">
        <f t="shared" si="10"/>
        <v>1.7405000000000002</v>
      </c>
      <c r="J335">
        <f t="shared" si="11"/>
        <v>36.5505</v>
      </c>
    </row>
    <row r="336" spans="1:10" x14ac:dyDescent="0.3">
      <c r="A336" s="1" t="s">
        <v>9</v>
      </c>
      <c r="B336" s="1" t="s">
        <v>358</v>
      </c>
      <c r="C336" s="1" t="s">
        <v>16</v>
      </c>
      <c r="D336" s="1" t="s">
        <v>17</v>
      </c>
      <c r="E336" s="1" t="s">
        <v>18</v>
      </c>
      <c r="F336" s="1" t="s">
        <v>29</v>
      </c>
      <c r="G336" s="1">
        <v>49.32</v>
      </c>
      <c r="H336" s="1">
        <v>6</v>
      </c>
      <c r="I336" s="1">
        <f t="shared" si="10"/>
        <v>14.796000000000001</v>
      </c>
      <c r="J336">
        <f t="shared" si="11"/>
        <v>310.71600000000001</v>
      </c>
    </row>
    <row r="337" spans="1:10" x14ac:dyDescent="0.3">
      <c r="A337" s="1" t="s">
        <v>9</v>
      </c>
      <c r="B337" s="1" t="s">
        <v>359</v>
      </c>
      <c r="C337" s="1" t="s">
        <v>25</v>
      </c>
      <c r="D337" s="1" t="s">
        <v>26</v>
      </c>
      <c r="E337" s="1" t="s">
        <v>13</v>
      </c>
      <c r="F337" s="1" t="s">
        <v>33</v>
      </c>
      <c r="G337" s="1">
        <v>23.08</v>
      </c>
      <c r="H337" s="1">
        <v>6</v>
      </c>
      <c r="I337" s="1">
        <f t="shared" si="10"/>
        <v>6.9239999999999995</v>
      </c>
      <c r="J337">
        <f t="shared" si="11"/>
        <v>145.404</v>
      </c>
    </row>
    <row r="338" spans="1:10" x14ac:dyDescent="0.3">
      <c r="A338" s="1" t="s">
        <v>9</v>
      </c>
      <c r="B338" s="1" t="s">
        <v>360</v>
      </c>
      <c r="C338" s="1" t="s">
        <v>25</v>
      </c>
      <c r="D338" s="1" t="s">
        <v>26</v>
      </c>
      <c r="E338" s="1" t="s">
        <v>13</v>
      </c>
      <c r="F338" s="1" t="s">
        <v>22</v>
      </c>
      <c r="G338" s="1">
        <v>49.1</v>
      </c>
      <c r="H338" s="1">
        <v>2</v>
      </c>
      <c r="I338" s="1">
        <f t="shared" si="10"/>
        <v>4.91</v>
      </c>
      <c r="J338">
        <f t="shared" si="11"/>
        <v>103.11</v>
      </c>
    </row>
    <row r="339" spans="1:10" x14ac:dyDescent="0.3">
      <c r="A339" s="1" t="s">
        <v>9</v>
      </c>
      <c r="B339" s="1" t="s">
        <v>361</v>
      </c>
      <c r="C339" s="1" t="s">
        <v>25</v>
      </c>
      <c r="D339" s="1" t="s">
        <v>26</v>
      </c>
      <c r="E339" s="1" t="s">
        <v>13</v>
      </c>
      <c r="F339" s="1" t="s">
        <v>33</v>
      </c>
      <c r="G339" s="1">
        <v>64.83</v>
      </c>
      <c r="H339" s="1">
        <v>2</v>
      </c>
      <c r="I339" s="1">
        <f t="shared" si="10"/>
        <v>6.4830000000000005</v>
      </c>
      <c r="J339">
        <f t="shared" si="11"/>
        <v>136.143</v>
      </c>
    </row>
    <row r="340" spans="1:10" x14ac:dyDescent="0.3">
      <c r="A340" s="1" t="s">
        <v>9</v>
      </c>
      <c r="B340" s="1" t="s">
        <v>362</v>
      </c>
      <c r="C340" s="1" t="s">
        <v>11</v>
      </c>
      <c r="D340" s="1" t="s">
        <v>12</v>
      </c>
      <c r="E340" s="1" t="s">
        <v>18</v>
      </c>
      <c r="F340" s="1" t="s">
        <v>27</v>
      </c>
      <c r="G340" s="1">
        <v>67.099999999999994</v>
      </c>
      <c r="H340" s="1">
        <v>3</v>
      </c>
      <c r="I340" s="1">
        <f t="shared" si="10"/>
        <v>10.065</v>
      </c>
      <c r="J340">
        <f t="shared" si="11"/>
        <v>211.36499999999998</v>
      </c>
    </row>
    <row r="341" spans="1:10" x14ac:dyDescent="0.3">
      <c r="A341" s="1" t="s">
        <v>9</v>
      </c>
      <c r="B341" s="1" t="s">
        <v>363</v>
      </c>
      <c r="C341" s="1" t="s">
        <v>16</v>
      </c>
      <c r="D341" s="1" t="s">
        <v>17</v>
      </c>
      <c r="E341" s="1" t="s">
        <v>13</v>
      </c>
      <c r="F341" s="1" t="s">
        <v>33</v>
      </c>
      <c r="G341" s="1">
        <v>70.19</v>
      </c>
      <c r="H341" s="1">
        <v>9</v>
      </c>
      <c r="I341" s="1">
        <f t="shared" si="10"/>
        <v>31.585500000000003</v>
      </c>
      <c r="J341">
        <f t="shared" si="11"/>
        <v>663.29550000000006</v>
      </c>
    </row>
    <row r="342" spans="1:10" x14ac:dyDescent="0.3">
      <c r="A342" s="1" t="s">
        <v>9</v>
      </c>
      <c r="B342" s="1" t="s">
        <v>364</v>
      </c>
      <c r="C342" s="1" t="s">
        <v>16</v>
      </c>
      <c r="D342" s="1" t="s">
        <v>17</v>
      </c>
      <c r="E342" s="1" t="s">
        <v>13</v>
      </c>
      <c r="F342" s="1" t="s">
        <v>29</v>
      </c>
      <c r="G342" s="1">
        <v>73.38</v>
      </c>
      <c r="H342" s="1">
        <v>7</v>
      </c>
      <c r="I342" s="1">
        <f t="shared" si="10"/>
        <v>25.683</v>
      </c>
      <c r="J342">
        <f t="shared" si="11"/>
        <v>539.34299999999996</v>
      </c>
    </row>
    <row r="343" spans="1:10" x14ac:dyDescent="0.3">
      <c r="A343" s="1" t="s">
        <v>9</v>
      </c>
      <c r="B343" s="1" t="s">
        <v>365</v>
      </c>
      <c r="C343" s="1" t="s">
        <v>16</v>
      </c>
      <c r="D343" s="1" t="s">
        <v>17</v>
      </c>
      <c r="E343" s="1" t="s">
        <v>18</v>
      </c>
      <c r="F343" s="1" t="s">
        <v>27</v>
      </c>
      <c r="G343" s="1">
        <v>52.6</v>
      </c>
      <c r="H343" s="1">
        <v>9</v>
      </c>
      <c r="I343" s="1">
        <f t="shared" si="10"/>
        <v>23.67</v>
      </c>
      <c r="J343">
        <f t="shared" si="11"/>
        <v>497.07000000000005</v>
      </c>
    </row>
    <row r="344" spans="1:10" x14ac:dyDescent="0.3">
      <c r="A344" s="1" t="s">
        <v>9</v>
      </c>
      <c r="B344" s="1" t="s">
        <v>366</v>
      </c>
      <c r="C344" s="1" t="s">
        <v>11</v>
      </c>
      <c r="D344" s="1" t="s">
        <v>12</v>
      </c>
      <c r="E344" s="1" t="s">
        <v>13</v>
      </c>
      <c r="F344" s="1" t="s">
        <v>22</v>
      </c>
      <c r="G344" s="1">
        <v>87.37</v>
      </c>
      <c r="H344" s="1">
        <v>5</v>
      </c>
      <c r="I344" s="1">
        <f t="shared" si="10"/>
        <v>21.842500000000001</v>
      </c>
      <c r="J344">
        <f t="shared" si="11"/>
        <v>458.6925</v>
      </c>
    </row>
    <row r="345" spans="1:10" x14ac:dyDescent="0.3">
      <c r="A345" s="1" t="s">
        <v>9</v>
      </c>
      <c r="B345" s="1" t="s">
        <v>367</v>
      </c>
      <c r="C345" s="1" t="s">
        <v>11</v>
      </c>
      <c r="D345" s="1" t="s">
        <v>12</v>
      </c>
      <c r="E345" s="1" t="s">
        <v>13</v>
      </c>
      <c r="F345" s="1" t="s">
        <v>33</v>
      </c>
      <c r="G345" s="1">
        <v>27.04</v>
      </c>
      <c r="H345" s="1">
        <v>4</v>
      </c>
      <c r="I345" s="1">
        <f t="shared" ref="I345:I408" si="12">(G345*H345)*5%</f>
        <v>5.4080000000000004</v>
      </c>
      <c r="J345">
        <f t="shared" si="11"/>
        <v>113.568</v>
      </c>
    </row>
    <row r="346" spans="1:10" x14ac:dyDescent="0.3">
      <c r="A346" s="1" t="s">
        <v>9</v>
      </c>
      <c r="B346" s="1" t="s">
        <v>368</v>
      </c>
      <c r="C346" s="1" t="s">
        <v>16</v>
      </c>
      <c r="D346" s="1" t="s">
        <v>17</v>
      </c>
      <c r="E346" s="1" t="s">
        <v>18</v>
      </c>
      <c r="F346" s="1" t="s">
        <v>29</v>
      </c>
      <c r="G346" s="1">
        <v>60.41</v>
      </c>
      <c r="H346" s="1">
        <v>8</v>
      </c>
      <c r="I346" s="1">
        <f t="shared" si="12"/>
        <v>24.164000000000001</v>
      </c>
      <c r="J346">
        <f t="shared" si="11"/>
        <v>507.44399999999996</v>
      </c>
    </row>
    <row r="347" spans="1:10" x14ac:dyDescent="0.3">
      <c r="A347" s="1" t="s">
        <v>9</v>
      </c>
      <c r="B347" s="1" t="s">
        <v>369</v>
      </c>
      <c r="C347" s="1" t="s">
        <v>25</v>
      </c>
      <c r="D347" s="1" t="s">
        <v>26</v>
      </c>
      <c r="E347" s="1" t="s">
        <v>13</v>
      </c>
      <c r="F347" s="1" t="s">
        <v>29</v>
      </c>
      <c r="G347" s="1">
        <v>19.77</v>
      </c>
      <c r="H347" s="1">
        <v>10</v>
      </c>
      <c r="I347" s="1">
        <f t="shared" si="12"/>
        <v>9.8849999999999998</v>
      </c>
      <c r="J347">
        <f t="shared" si="11"/>
        <v>207.58499999999998</v>
      </c>
    </row>
    <row r="348" spans="1:10" x14ac:dyDescent="0.3">
      <c r="A348" s="1" t="s">
        <v>9</v>
      </c>
      <c r="B348" s="1" t="s">
        <v>370</v>
      </c>
      <c r="C348" s="1" t="s">
        <v>25</v>
      </c>
      <c r="D348" s="1" t="s">
        <v>26</v>
      </c>
      <c r="E348" s="1" t="s">
        <v>13</v>
      </c>
      <c r="F348" s="1" t="s">
        <v>22</v>
      </c>
      <c r="G348" s="1">
        <v>88.39</v>
      </c>
      <c r="H348" s="1">
        <v>9</v>
      </c>
      <c r="I348" s="1">
        <f t="shared" si="12"/>
        <v>39.775500000000001</v>
      </c>
      <c r="J348">
        <f t="shared" si="11"/>
        <v>835.28549999999996</v>
      </c>
    </row>
    <row r="349" spans="1:10" x14ac:dyDescent="0.3">
      <c r="A349" s="1" t="s">
        <v>9</v>
      </c>
      <c r="B349" s="1" t="s">
        <v>371</v>
      </c>
      <c r="C349" s="1" t="s">
        <v>25</v>
      </c>
      <c r="D349" s="1" t="s">
        <v>26</v>
      </c>
      <c r="E349" s="1" t="s">
        <v>18</v>
      </c>
      <c r="F349" s="1" t="s">
        <v>19</v>
      </c>
      <c r="G349" s="1">
        <v>43</v>
      </c>
      <c r="H349" s="1">
        <v>4</v>
      </c>
      <c r="I349" s="1">
        <f t="shared" si="12"/>
        <v>8.6</v>
      </c>
      <c r="J349">
        <f t="shared" si="11"/>
        <v>180.6</v>
      </c>
    </row>
    <row r="350" spans="1:10" x14ac:dyDescent="0.3">
      <c r="A350" s="1" t="s">
        <v>9</v>
      </c>
      <c r="B350" s="1" t="s">
        <v>372</v>
      </c>
      <c r="C350" s="1" t="s">
        <v>16</v>
      </c>
      <c r="D350" s="1" t="s">
        <v>17</v>
      </c>
      <c r="E350" s="1" t="s">
        <v>13</v>
      </c>
      <c r="F350" s="1" t="s">
        <v>22</v>
      </c>
      <c r="G350" s="1">
        <v>75.53</v>
      </c>
      <c r="H350" s="1">
        <v>4</v>
      </c>
      <c r="I350" s="1">
        <f t="shared" si="12"/>
        <v>15.106000000000002</v>
      </c>
      <c r="J350">
        <f t="shared" si="11"/>
        <v>317.226</v>
      </c>
    </row>
    <row r="351" spans="1:10" x14ac:dyDescent="0.3">
      <c r="A351" s="1" t="s">
        <v>9</v>
      </c>
      <c r="B351" s="1" t="s">
        <v>373</v>
      </c>
      <c r="C351" s="1" t="s">
        <v>16</v>
      </c>
      <c r="D351" s="1" t="s">
        <v>17</v>
      </c>
      <c r="E351" s="1" t="s">
        <v>18</v>
      </c>
      <c r="F351" s="1" t="s">
        <v>19</v>
      </c>
      <c r="G351" s="1">
        <v>77.63</v>
      </c>
      <c r="H351" s="1">
        <v>9</v>
      </c>
      <c r="I351" s="1">
        <f t="shared" si="12"/>
        <v>34.933500000000002</v>
      </c>
      <c r="J351">
        <f t="shared" si="11"/>
        <v>733.60349999999994</v>
      </c>
    </row>
    <row r="352" spans="1:10" x14ac:dyDescent="0.3">
      <c r="A352" s="1" t="s">
        <v>9</v>
      </c>
      <c r="B352" s="1" t="s">
        <v>374</v>
      </c>
      <c r="C352" s="1" t="s">
        <v>16</v>
      </c>
      <c r="D352" s="1" t="s">
        <v>17</v>
      </c>
      <c r="E352" s="1" t="s">
        <v>18</v>
      </c>
      <c r="F352" s="1" t="s">
        <v>14</v>
      </c>
      <c r="G352" s="1">
        <v>13.85</v>
      </c>
      <c r="H352" s="1">
        <v>9</v>
      </c>
      <c r="I352" s="1">
        <f t="shared" si="12"/>
        <v>6.2324999999999999</v>
      </c>
      <c r="J352">
        <f t="shared" si="11"/>
        <v>130.88249999999999</v>
      </c>
    </row>
    <row r="353" spans="1:10" x14ac:dyDescent="0.3">
      <c r="A353" s="1" t="s">
        <v>9</v>
      </c>
      <c r="B353" s="1" t="s">
        <v>375</v>
      </c>
      <c r="C353" s="1" t="s">
        <v>11</v>
      </c>
      <c r="D353" s="1" t="s">
        <v>12</v>
      </c>
      <c r="E353" s="1" t="s">
        <v>18</v>
      </c>
      <c r="F353" s="1" t="s">
        <v>14</v>
      </c>
      <c r="G353" s="1">
        <v>35.68</v>
      </c>
      <c r="H353" s="1">
        <v>5</v>
      </c>
      <c r="I353" s="1">
        <f t="shared" si="12"/>
        <v>8.92</v>
      </c>
      <c r="J353">
        <f t="shared" si="11"/>
        <v>187.32</v>
      </c>
    </row>
    <row r="354" spans="1:10" x14ac:dyDescent="0.3">
      <c r="A354" s="1" t="s">
        <v>9</v>
      </c>
      <c r="B354" s="1" t="s">
        <v>376</v>
      </c>
      <c r="C354" s="1" t="s">
        <v>11</v>
      </c>
      <c r="D354" s="1" t="s">
        <v>12</v>
      </c>
      <c r="E354" s="1" t="s">
        <v>13</v>
      </c>
      <c r="F354" s="1" t="s">
        <v>29</v>
      </c>
      <c r="G354" s="1">
        <v>71.459999999999994</v>
      </c>
      <c r="H354" s="1">
        <v>7</v>
      </c>
      <c r="I354" s="1">
        <f t="shared" si="12"/>
        <v>25.010999999999999</v>
      </c>
      <c r="J354">
        <f t="shared" si="11"/>
        <v>525.23099999999999</v>
      </c>
    </row>
    <row r="355" spans="1:10" x14ac:dyDescent="0.3">
      <c r="A355" s="1" t="s">
        <v>9</v>
      </c>
      <c r="B355" s="1" t="s">
        <v>377</v>
      </c>
      <c r="C355" s="1" t="s">
        <v>25</v>
      </c>
      <c r="D355" s="1" t="s">
        <v>26</v>
      </c>
      <c r="E355" s="1" t="s">
        <v>13</v>
      </c>
      <c r="F355" s="1" t="s">
        <v>29</v>
      </c>
      <c r="G355" s="1">
        <v>17.48</v>
      </c>
      <c r="H355" s="1">
        <v>6</v>
      </c>
      <c r="I355" s="1">
        <f t="shared" si="12"/>
        <v>5.2439999999999998</v>
      </c>
      <c r="J355">
        <f t="shared" si="11"/>
        <v>110.124</v>
      </c>
    </row>
    <row r="356" spans="1:10" x14ac:dyDescent="0.3">
      <c r="A356" s="1" t="s">
        <v>9</v>
      </c>
      <c r="B356" s="1" t="s">
        <v>378</v>
      </c>
      <c r="C356" s="1" t="s">
        <v>25</v>
      </c>
      <c r="D356" s="1" t="s">
        <v>26</v>
      </c>
      <c r="E356" s="1" t="s">
        <v>18</v>
      </c>
      <c r="F356" s="1" t="s">
        <v>29</v>
      </c>
      <c r="G356" s="1">
        <v>25.56</v>
      </c>
      <c r="H356" s="1">
        <v>7</v>
      </c>
      <c r="I356" s="1">
        <f t="shared" si="12"/>
        <v>8.9459999999999997</v>
      </c>
      <c r="J356">
        <f t="shared" si="11"/>
        <v>187.86599999999999</v>
      </c>
    </row>
    <row r="357" spans="1:10" x14ac:dyDescent="0.3">
      <c r="A357" s="1" t="s">
        <v>9</v>
      </c>
      <c r="B357" s="1" t="s">
        <v>379</v>
      </c>
      <c r="C357" s="1" t="s">
        <v>16</v>
      </c>
      <c r="D357" s="1" t="s">
        <v>17</v>
      </c>
      <c r="E357" s="1" t="s">
        <v>13</v>
      </c>
      <c r="F357" s="1" t="s">
        <v>33</v>
      </c>
      <c r="G357" s="1">
        <v>90.63</v>
      </c>
      <c r="H357" s="1">
        <v>9</v>
      </c>
      <c r="I357" s="1">
        <f t="shared" si="12"/>
        <v>40.783500000000004</v>
      </c>
      <c r="J357">
        <f t="shared" si="11"/>
        <v>856.45349999999996</v>
      </c>
    </row>
    <row r="358" spans="1:10" x14ac:dyDescent="0.3">
      <c r="A358" s="1" t="s">
        <v>9</v>
      </c>
      <c r="B358" s="1" t="s">
        <v>380</v>
      </c>
      <c r="C358" s="1" t="s">
        <v>16</v>
      </c>
      <c r="D358" s="1" t="s">
        <v>17</v>
      </c>
      <c r="E358" s="1" t="s">
        <v>13</v>
      </c>
      <c r="F358" s="1" t="s">
        <v>27</v>
      </c>
      <c r="G358" s="1">
        <v>36.770000000000003</v>
      </c>
      <c r="H358" s="1">
        <v>7</v>
      </c>
      <c r="I358" s="1">
        <f t="shared" si="12"/>
        <v>12.869500000000002</v>
      </c>
      <c r="J358">
        <f t="shared" si="11"/>
        <v>270.25950000000006</v>
      </c>
    </row>
    <row r="359" spans="1:10" x14ac:dyDescent="0.3">
      <c r="A359" s="1" t="s">
        <v>9</v>
      </c>
      <c r="B359" s="1" t="s">
        <v>381</v>
      </c>
      <c r="C359" s="1" t="s">
        <v>16</v>
      </c>
      <c r="D359" s="1" t="s">
        <v>17</v>
      </c>
      <c r="E359" s="1" t="s">
        <v>13</v>
      </c>
      <c r="F359" s="1" t="s">
        <v>14</v>
      </c>
      <c r="G359" s="1">
        <v>28.5</v>
      </c>
      <c r="H359" s="1">
        <v>8</v>
      </c>
      <c r="I359" s="1">
        <f t="shared" si="12"/>
        <v>11.4</v>
      </c>
      <c r="J359">
        <f t="shared" si="11"/>
        <v>239.4</v>
      </c>
    </row>
    <row r="360" spans="1:10" x14ac:dyDescent="0.3">
      <c r="A360" s="1" t="s">
        <v>9</v>
      </c>
      <c r="B360" s="1" t="s">
        <v>382</v>
      </c>
      <c r="C360" s="1" t="s">
        <v>25</v>
      </c>
      <c r="D360" s="1" t="s">
        <v>26</v>
      </c>
      <c r="E360" s="1" t="s">
        <v>13</v>
      </c>
      <c r="F360" s="1" t="s">
        <v>22</v>
      </c>
      <c r="G360" s="1">
        <v>52.18</v>
      </c>
      <c r="H360" s="1">
        <v>7</v>
      </c>
      <c r="I360" s="1">
        <f t="shared" si="12"/>
        <v>18.263000000000002</v>
      </c>
      <c r="J360">
        <f t="shared" si="11"/>
        <v>383.52299999999997</v>
      </c>
    </row>
    <row r="361" spans="1:10" x14ac:dyDescent="0.3">
      <c r="A361" s="1" t="s">
        <v>9</v>
      </c>
      <c r="B361" s="1" t="s">
        <v>383</v>
      </c>
      <c r="C361" s="1" t="s">
        <v>11</v>
      </c>
      <c r="D361" s="1" t="s">
        <v>12</v>
      </c>
      <c r="E361" s="1" t="s">
        <v>13</v>
      </c>
      <c r="F361" s="1" t="s">
        <v>29</v>
      </c>
      <c r="G361" s="1">
        <v>22.32</v>
      </c>
      <c r="H361" s="1">
        <v>4</v>
      </c>
      <c r="I361" s="1">
        <f t="shared" si="12"/>
        <v>4.4640000000000004</v>
      </c>
      <c r="J361">
        <f t="shared" si="11"/>
        <v>93.744</v>
      </c>
    </row>
    <row r="362" spans="1:10" x14ac:dyDescent="0.3">
      <c r="A362" s="1" t="s">
        <v>9</v>
      </c>
      <c r="B362" s="1" t="s">
        <v>384</v>
      </c>
      <c r="C362" s="1" t="s">
        <v>16</v>
      </c>
      <c r="D362" s="1" t="s">
        <v>17</v>
      </c>
      <c r="E362" s="1" t="s">
        <v>13</v>
      </c>
      <c r="F362" s="1" t="s">
        <v>22</v>
      </c>
      <c r="G362" s="1">
        <v>81.2</v>
      </c>
      <c r="H362" s="1">
        <v>7</v>
      </c>
      <c r="I362" s="1">
        <f t="shared" si="12"/>
        <v>28.42</v>
      </c>
      <c r="J362">
        <f t="shared" si="11"/>
        <v>596.81999999999994</v>
      </c>
    </row>
    <row r="363" spans="1:10" x14ac:dyDescent="0.3">
      <c r="A363" s="1" t="s">
        <v>9</v>
      </c>
      <c r="B363" s="1" t="s">
        <v>385</v>
      </c>
      <c r="C363" s="1" t="s">
        <v>11</v>
      </c>
      <c r="D363" s="1" t="s">
        <v>12</v>
      </c>
      <c r="E363" s="1" t="s">
        <v>13</v>
      </c>
      <c r="F363" s="1" t="s">
        <v>33</v>
      </c>
      <c r="G363" s="1">
        <v>71.63</v>
      </c>
      <c r="H363" s="1">
        <v>2</v>
      </c>
      <c r="I363" s="1">
        <f t="shared" si="12"/>
        <v>7.1630000000000003</v>
      </c>
      <c r="J363">
        <f t="shared" si="11"/>
        <v>150.423</v>
      </c>
    </row>
    <row r="364" spans="1:10" x14ac:dyDescent="0.3">
      <c r="A364" s="1" t="s">
        <v>9</v>
      </c>
      <c r="B364" s="1" t="s">
        <v>386</v>
      </c>
      <c r="C364" s="1" t="s">
        <v>16</v>
      </c>
      <c r="D364" s="1" t="s">
        <v>17</v>
      </c>
      <c r="E364" s="1" t="s">
        <v>13</v>
      </c>
      <c r="F364" s="1" t="s">
        <v>33</v>
      </c>
      <c r="G364" s="1">
        <v>31.67</v>
      </c>
      <c r="H364" s="1">
        <v>8</v>
      </c>
      <c r="I364" s="1">
        <f t="shared" si="12"/>
        <v>12.668000000000001</v>
      </c>
      <c r="J364">
        <f t="shared" si="11"/>
        <v>266.02800000000002</v>
      </c>
    </row>
    <row r="365" spans="1:10" x14ac:dyDescent="0.3">
      <c r="A365" s="1" t="s">
        <v>9</v>
      </c>
      <c r="B365" s="1" t="s">
        <v>387</v>
      </c>
      <c r="C365" s="1" t="s">
        <v>16</v>
      </c>
      <c r="D365" s="1" t="s">
        <v>17</v>
      </c>
      <c r="E365" s="1" t="s">
        <v>13</v>
      </c>
      <c r="F365" s="1" t="s">
        <v>27</v>
      </c>
      <c r="G365" s="1">
        <v>38.42</v>
      </c>
      <c r="H365" s="1">
        <v>1</v>
      </c>
      <c r="I365" s="1">
        <f t="shared" si="12"/>
        <v>1.9210000000000003</v>
      </c>
      <c r="J365">
        <f t="shared" si="11"/>
        <v>40.341000000000001</v>
      </c>
    </row>
    <row r="366" spans="1:10" x14ac:dyDescent="0.3">
      <c r="A366" s="1" t="s">
        <v>9</v>
      </c>
      <c r="B366" s="1" t="s">
        <v>388</v>
      </c>
      <c r="C366" s="1" t="s">
        <v>16</v>
      </c>
      <c r="D366" s="1" t="s">
        <v>17</v>
      </c>
      <c r="E366" s="1" t="s">
        <v>13</v>
      </c>
      <c r="F366" s="1" t="s">
        <v>22</v>
      </c>
      <c r="G366" s="1">
        <v>10.53</v>
      </c>
      <c r="H366" s="1">
        <v>5</v>
      </c>
      <c r="I366" s="1">
        <f t="shared" si="12"/>
        <v>2.6325000000000003</v>
      </c>
      <c r="J366">
        <f t="shared" si="11"/>
        <v>55.282499999999999</v>
      </c>
    </row>
    <row r="367" spans="1:10" x14ac:dyDescent="0.3">
      <c r="A367" s="1" t="s">
        <v>9</v>
      </c>
      <c r="B367" s="1" t="s">
        <v>389</v>
      </c>
      <c r="C367" s="1" t="s">
        <v>25</v>
      </c>
      <c r="D367" s="1" t="s">
        <v>26</v>
      </c>
      <c r="E367" s="1" t="s">
        <v>13</v>
      </c>
      <c r="F367" s="1" t="s">
        <v>22</v>
      </c>
      <c r="G367" s="1">
        <v>12.29</v>
      </c>
      <c r="H367" s="1">
        <v>9</v>
      </c>
      <c r="I367" s="1">
        <f t="shared" si="12"/>
        <v>5.5305</v>
      </c>
      <c r="J367">
        <f t="shared" si="11"/>
        <v>116.14049999999999</v>
      </c>
    </row>
    <row r="368" spans="1:10" x14ac:dyDescent="0.3">
      <c r="A368" s="1" t="s">
        <v>9</v>
      </c>
      <c r="B368" s="1" t="s">
        <v>390</v>
      </c>
      <c r="C368" s="1" t="s">
        <v>25</v>
      </c>
      <c r="D368" s="1" t="s">
        <v>26</v>
      </c>
      <c r="E368" s="1" t="s">
        <v>13</v>
      </c>
      <c r="F368" s="1" t="s">
        <v>29</v>
      </c>
      <c r="G368" s="1">
        <v>22.32</v>
      </c>
      <c r="H368" s="1">
        <v>4</v>
      </c>
      <c r="I368" s="1">
        <f t="shared" si="12"/>
        <v>4.4640000000000004</v>
      </c>
      <c r="J368">
        <f t="shared" si="11"/>
        <v>93.744</v>
      </c>
    </row>
    <row r="369" spans="1:10" x14ac:dyDescent="0.3">
      <c r="A369" s="1" t="s">
        <v>9</v>
      </c>
      <c r="B369" s="1" t="s">
        <v>391</v>
      </c>
      <c r="C369" s="1" t="s">
        <v>11</v>
      </c>
      <c r="D369" s="1" t="s">
        <v>12</v>
      </c>
      <c r="E369" s="1" t="s">
        <v>18</v>
      </c>
      <c r="F369" s="1" t="s">
        <v>27</v>
      </c>
      <c r="G369" s="1">
        <v>27.28</v>
      </c>
      <c r="H369" s="1">
        <v>5</v>
      </c>
      <c r="I369" s="1">
        <f t="shared" si="12"/>
        <v>6.82</v>
      </c>
      <c r="J369">
        <f t="shared" si="11"/>
        <v>143.22</v>
      </c>
    </row>
    <row r="370" spans="1:10" x14ac:dyDescent="0.3">
      <c r="A370" s="1" t="s">
        <v>9</v>
      </c>
      <c r="B370" s="1" t="s">
        <v>392</v>
      </c>
      <c r="C370" s="1" t="s">
        <v>11</v>
      </c>
      <c r="D370" s="1" t="s">
        <v>12</v>
      </c>
      <c r="E370" s="1" t="s">
        <v>13</v>
      </c>
      <c r="F370" s="1" t="s">
        <v>19</v>
      </c>
      <c r="G370" s="1">
        <v>17.420000000000002</v>
      </c>
      <c r="H370" s="1">
        <v>10</v>
      </c>
      <c r="I370" s="1">
        <f t="shared" si="12"/>
        <v>8.7100000000000009</v>
      </c>
      <c r="J370">
        <f t="shared" si="11"/>
        <v>182.91000000000003</v>
      </c>
    </row>
    <row r="371" spans="1:10" x14ac:dyDescent="0.3">
      <c r="A371" s="1" t="s">
        <v>9</v>
      </c>
      <c r="B371" s="1" t="s">
        <v>393</v>
      </c>
      <c r="C371" s="1" t="s">
        <v>16</v>
      </c>
      <c r="D371" s="1" t="s">
        <v>17</v>
      </c>
      <c r="E371" s="1" t="s">
        <v>13</v>
      </c>
      <c r="F371" s="1" t="s">
        <v>29</v>
      </c>
      <c r="G371" s="1">
        <v>84.87</v>
      </c>
      <c r="H371" s="1">
        <v>3</v>
      </c>
      <c r="I371" s="1">
        <f t="shared" si="12"/>
        <v>12.730500000000001</v>
      </c>
      <c r="J371">
        <f t="shared" si="11"/>
        <v>267.34050000000002</v>
      </c>
    </row>
    <row r="372" spans="1:10" x14ac:dyDescent="0.3">
      <c r="A372" s="1" t="s">
        <v>9</v>
      </c>
      <c r="B372" s="1" t="s">
        <v>394</v>
      </c>
      <c r="C372" s="1" t="s">
        <v>11</v>
      </c>
      <c r="D372" s="1" t="s">
        <v>12</v>
      </c>
      <c r="E372" s="1" t="s">
        <v>18</v>
      </c>
      <c r="F372" s="1" t="s">
        <v>29</v>
      </c>
      <c r="G372" s="1">
        <v>97.29</v>
      </c>
      <c r="H372" s="1">
        <v>8</v>
      </c>
      <c r="I372" s="1">
        <f t="shared" si="12"/>
        <v>38.916000000000004</v>
      </c>
      <c r="J372">
        <f t="shared" si="11"/>
        <v>817.2360000000001</v>
      </c>
    </row>
    <row r="373" spans="1:10" x14ac:dyDescent="0.3">
      <c r="A373" s="1" t="s">
        <v>9</v>
      </c>
      <c r="B373" s="1" t="s">
        <v>395</v>
      </c>
      <c r="C373" s="1" t="s">
        <v>25</v>
      </c>
      <c r="D373" s="1" t="s">
        <v>26</v>
      </c>
      <c r="E373" s="1" t="s">
        <v>13</v>
      </c>
      <c r="F373" s="1" t="s">
        <v>19</v>
      </c>
      <c r="G373" s="1">
        <v>35.74</v>
      </c>
      <c r="H373" s="1">
        <v>8</v>
      </c>
      <c r="I373" s="1">
        <f t="shared" si="12"/>
        <v>14.296000000000001</v>
      </c>
      <c r="J373">
        <f t="shared" si="11"/>
        <v>300.21600000000001</v>
      </c>
    </row>
    <row r="374" spans="1:10" x14ac:dyDescent="0.3">
      <c r="A374" s="1" t="s">
        <v>9</v>
      </c>
      <c r="B374" s="1" t="s">
        <v>396</v>
      </c>
      <c r="C374" s="1" t="s">
        <v>11</v>
      </c>
      <c r="D374" s="1" t="s">
        <v>12</v>
      </c>
      <c r="E374" s="1" t="s">
        <v>18</v>
      </c>
      <c r="F374" s="1" t="s">
        <v>22</v>
      </c>
      <c r="G374" s="1">
        <v>96.52</v>
      </c>
      <c r="H374" s="1">
        <v>6</v>
      </c>
      <c r="I374" s="1">
        <f t="shared" si="12"/>
        <v>28.956000000000003</v>
      </c>
      <c r="J374">
        <f t="shared" si="11"/>
        <v>608.07600000000002</v>
      </c>
    </row>
    <row r="375" spans="1:10" x14ac:dyDescent="0.3">
      <c r="A375" s="1" t="s">
        <v>9</v>
      </c>
      <c r="B375" s="1" t="s">
        <v>397</v>
      </c>
      <c r="C375" s="1" t="s">
        <v>11</v>
      </c>
      <c r="D375" s="1" t="s">
        <v>12</v>
      </c>
      <c r="E375" s="1" t="s">
        <v>18</v>
      </c>
      <c r="F375" s="1" t="s">
        <v>27</v>
      </c>
      <c r="G375" s="1">
        <v>55.39</v>
      </c>
      <c r="H375" s="1">
        <v>4</v>
      </c>
      <c r="I375" s="1">
        <f t="shared" si="12"/>
        <v>11.078000000000001</v>
      </c>
      <c r="J375">
        <f t="shared" si="11"/>
        <v>232.63800000000001</v>
      </c>
    </row>
    <row r="376" spans="1:10" x14ac:dyDescent="0.3">
      <c r="A376" s="1" t="s">
        <v>9</v>
      </c>
      <c r="B376" s="1" t="s">
        <v>398</v>
      </c>
      <c r="C376" s="1" t="s">
        <v>25</v>
      </c>
      <c r="D376" s="1" t="s">
        <v>26</v>
      </c>
      <c r="E376" s="1" t="s">
        <v>13</v>
      </c>
      <c r="F376" s="1" t="s">
        <v>27</v>
      </c>
      <c r="G376" s="1">
        <v>77.2</v>
      </c>
      <c r="H376" s="1">
        <v>10</v>
      </c>
      <c r="I376" s="1">
        <f t="shared" si="12"/>
        <v>38.6</v>
      </c>
      <c r="J376">
        <f t="shared" si="11"/>
        <v>810.6</v>
      </c>
    </row>
    <row r="377" spans="1:10" x14ac:dyDescent="0.3">
      <c r="A377" s="1" t="s">
        <v>9</v>
      </c>
      <c r="B377" s="1" t="s">
        <v>399</v>
      </c>
      <c r="C377" s="1" t="s">
        <v>11</v>
      </c>
      <c r="D377" s="1" t="s">
        <v>12</v>
      </c>
      <c r="E377" s="1" t="s">
        <v>13</v>
      </c>
      <c r="F377" s="1" t="s">
        <v>29</v>
      </c>
      <c r="G377" s="1">
        <v>63.88</v>
      </c>
      <c r="H377" s="1">
        <v>8</v>
      </c>
      <c r="I377" s="1">
        <f t="shared" si="12"/>
        <v>25.552000000000003</v>
      </c>
      <c r="J377">
        <f t="shared" si="11"/>
        <v>536.59199999999998</v>
      </c>
    </row>
    <row r="378" spans="1:10" x14ac:dyDescent="0.3">
      <c r="A378" s="1" t="s">
        <v>9</v>
      </c>
      <c r="B378" s="1" t="s">
        <v>400</v>
      </c>
      <c r="C378" s="1" t="s">
        <v>11</v>
      </c>
      <c r="D378" s="1" t="s">
        <v>12</v>
      </c>
      <c r="E378" s="1" t="s">
        <v>13</v>
      </c>
      <c r="F378" s="1" t="s">
        <v>14</v>
      </c>
      <c r="G378" s="1">
        <v>10.69</v>
      </c>
      <c r="H378" s="1">
        <v>5</v>
      </c>
      <c r="I378" s="1">
        <f t="shared" si="12"/>
        <v>2.6724999999999999</v>
      </c>
      <c r="J378">
        <f t="shared" si="11"/>
        <v>56.122499999999995</v>
      </c>
    </row>
    <row r="379" spans="1:10" x14ac:dyDescent="0.3">
      <c r="A379" s="1" t="s">
        <v>9</v>
      </c>
      <c r="B379" s="1" t="s">
        <v>401</v>
      </c>
      <c r="C379" s="1" t="s">
        <v>25</v>
      </c>
      <c r="D379" s="1" t="s">
        <v>26</v>
      </c>
      <c r="E379" s="1" t="s">
        <v>18</v>
      </c>
      <c r="F379" s="1" t="s">
        <v>22</v>
      </c>
      <c r="G379" s="1">
        <v>95.46</v>
      </c>
      <c r="H379" s="1">
        <v>8</v>
      </c>
      <c r="I379" s="1">
        <f t="shared" si="12"/>
        <v>38.183999999999997</v>
      </c>
      <c r="J379">
        <f t="shared" si="11"/>
        <v>801.86399999999992</v>
      </c>
    </row>
    <row r="380" spans="1:10" x14ac:dyDescent="0.3">
      <c r="A380" s="1" t="s">
        <v>9</v>
      </c>
      <c r="B380" s="1" t="s">
        <v>402</v>
      </c>
      <c r="C380" s="1" t="s">
        <v>16</v>
      </c>
      <c r="D380" s="1" t="s">
        <v>17</v>
      </c>
      <c r="E380" s="1" t="s">
        <v>18</v>
      </c>
      <c r="F380" s="1" t="s">
        <v>29</v>
      </c>
      <c r="G380" s="1">
        <v>76.06</v>
      </c>
      <c r="H380" s="1">
        <v>3</v>
      </c>
      <c r="I380" s="1">
        <f t="shared" si="12"/>
        <v>11.409000000000001</v>
      </c>
      <c r="J380">
        <f t="shared" si="11"/>
        <v>239.589</v>
      </c>
    </row>
    <row r="381" spans="1:10" x14ac:dyDescent="0.3">
      <c r="A381" s="1" t="s">
        <v>9</v>
      </c>
      <c r="B381" s="1" t="s">
        <v>403</v>
      </c>
      <c r="C381" s="1" t="s">
        <v>25</v>
      </c>
      <c r="D381" s="1" t="s">
        <v>26</v>
      </c>
      <c r="E381" s="1" t="s">
        <v>18</v>
      </c>
      <c r="F381" s="1" t="s">
        <v>19</v>
      </c>
      <c r="G381" s="1">
        <v>95.64</v>
      </c>
      <c r="H381" s="1">
        <v>4</v>
      </c>
      <c r="I381" s="1">
        <f t="shared" si="12"/>
        <v>19.128</v>
      </c>
      <c r="J381">
        <f t="shared" si="11"/>
        <v>401.68799999999999</v>
      </c>
    </row>
    <row r="382" spans="1:10" x14ac:dyDescent="0.3">
      <c r="A382" s="1" t="s">
        <v>9</v>
      </c>
      <c r="B382" s="1" t="s">
        <v>404</v>
      </c>
      <c r="C382" s="1" t="s">
        <v>11</v>
      </c>
      <c r="D382" s="1" t="s">
        <v>12</v>
      </c>
      <c r="E382" s="1" t="s">
        <v>18</v>
      </c>
      <c r="F382" s="1" t="s">
        <v>22</v>
      </c>
      <c r="G382" s="1">
        <v>11.43</v>
      </c>
      <c r="H382" s="1">
        <v>6</v>
      </c>
      <c r="I382" s="1">
        <f t="shared" si="12"/>
        <v>3.4290000000000003</v>
      </c>
      <c r="J382">
        <f t="shared" si="11"/>
        <v>72.009</v>
      </c>
    </row>
    <row r="383" spans="1:10" x14ac:dyDescent="0.3">
      <c r="A383" s="1" t="s">
        <v>9</v>
      </c>
      <c r="B383" s="1" t="s">
        <v>405</v>
      </c>
      <c r="C383" s="1" t="s">
        <v>25</v>
      </c>
      <c r="D383" s="1" t="s">
        <v>26</v>
      </c>
      <c r="E383" s="1" t="s">
        <v>13</v>
      </c>
      <c r="F383" s="1" t="s">
        <v>33</v>
      </c>
      <c r="G383" s="1">
        <v>95.54</v>
      </c>
      <c r="H383" s="1">
        <v>4</v>
      </c>
      <c r="I383" s="1">
        <f t="shared" si="12"/>
        <v>19.108000000000001</v>
      </c>
      <c r="J383">
        <f t="shared" si="11"/>
        <v>401.26800000000003</v>
      </c>
    </row>
    <row r="384" spans="1:10" x14ac:dyDescent="0.3">
      <c r="A384" s="1" t="s">
        <v>9</v>
      </c>
      <c r="B384" s="1" t="s">
        <v>406</v>
      </c>
      <c r="C384" s="1" t="s">
        <v>16</v>
      </c>
      <c r="D384" s="1" t="s">
        <v>17</v>
      </c>
      <c r="E384" s="1" t="s">
        <v>13</v>
      </c>
      <c r="F384" s="1" t="s">
        <v>14</v>
      </c>
      <c r="G384" s="1">
        <v>85.87</v>
      </c>
      <c r="H384" s="1">
        <v>7</v>
      </c>
      <c r="I384" s="1">
        <f t="shared" si="12"/>
        <v>30.054500000000004</v>
      </c>
      <c r="J384">
        <f t="shared" si="11"/>
        <v>631.14449999999999</v>
      </c>
    </row>
    <row r="385" spans="1:10" x14ac:dyDescent="0.3">
      <c r="A385" s="1" t="s">
        <v>9</v>
      </c>
      <c r="B385" s="1" t="s">
        <v>407</v>
      </c>
      <c r="C385" s="1" t="s">
        <v>16</v>
      </c>
      <c r="D385" s="1" t="s">
        <v>17</v>
      </c>
      <c r="E385" s="1" t="s">
        <v>13</v>
      </c>
      <c r="F385" s="1" t="s">
        <v>33</v>
      </c>
      <c r="G385" s="1">
        <v>67.989999999999995</v>
      </c>
      <c r="H385" s="1">
        <v>7</v>
      </c>
      <c r="I385" s="1">
        <f t="shared" si="12"/>
        <v>23.796499999999998</v>
      </c>
      <c r="J385">
        <f t="shared" si="11"/>
        <v>499.72649999999993</v>
      </c>
    </row>
    <row r="386" spans="1:10" x14ac:dyDescent="0.3">
      <c r="A386" s="1" t="s">
        <v>9</v>
      </c>
      <c r="B386" s="1" t="s">
        <v>408</v>
      </c>
      <c r="C386" s="1" t="s">
        <v>16</v>
      </c>
      <c r="D386" s="1" t="s">
        <v>17</v>
      </c>
      <c r="E386" s="1" t="s">
        <v>18</v>
      </c>
      <c r="F386" s="1" t="s">
        <v>27</v>
      </c>
      <c r="G386" s="1">
        <v>52.42</v>
      </c>
      <c r="H386" s="1">
        <v>1</v>
      </c>
      <c r="I386" s="1">
        <f t="shared" si="12"/>
        <v>2.6210000000000004</v>
      </c>
      <c r="J386">
        <f t="shared" si="11"/>
        <v>55.041000000000004</v>
      </c>
    </row>
    <row r="387" spans="1:10" x14ac:dyDescent="0.3">
      <c r="A387" s="1" t="s">
        <v>9</v>
      </c>
      <c r="B387" s="1" t="s">
        <v>409</v>
      </c>
      <c r="C387" s="1" t="s">
        <v>25</v>
      </c>
      <c r="D387" s="1" t="s">
        <v>26</v>
      </c>
      <c r="E387" s="1" t="s">
        <v>18</v>
      </c>
      <c r="F387" s="1" t="s">
        <v>27</v>
      </c>
      <c r="G387" s="1">
        <v>28.86</v>
      </c>
      <c r="H387" s="1">
        <v>5</v>
      </c>
      <c r="I387" s="1">
        <f t="shared" si="12"/>
        <v>7.2150000000000007</v>
      </c>
      <c r="J387">
        <f t="shared" ref="J387:J450" si="13">(G387*H387)+I387</f>
        <v>151.51500000000001</v>
      </c>
    </row>
    <row r="388" spans="1:10" x14ac:dyDescent="0.3">
      <c r="A388" s="1" t="s">
        <v>9</v>
      </c>
      <c r="B388" s="1" t="s">
        <v>410</v>
      </c>
      <c r="C388" s="1" t="s">
        <v>11</v>
      </c>
      <c r="D388" s="1" t="s">
        <v>12</v>
      </c>
      <c r="E388" s="1" t="s">
        <v>18</v>
      </c>
      <c r="F388" s="1" t="s">
        <v>33</v>
      </c>
      <c r="G388" s="1">
        <v>94.76</v>
      </c>
      <c r="H388" s="1">
        <v>4</v>
      </c>
      <c r="I388" s="1">
        <f t="shared" si="12"/>
        <v>18.952000000000002</v>
      </c>
      <c r="J388">
        <f t="shared" si="13"/>
        <v>397.99200000000002</v>
      </c>
    </row>
    <row r="389" spans="1:10" x14ac:dyDescent="0.3">
      <c r="A389" s="1" t="s">
        <v>9</v>
      </c>
      <c r="B389" s="1" t="s">
        <v>411</v>
      </c>
      <c r="C389" s="1" t="s">
        <v>11</v>
      </c>
      <c r="D389" s="1" t="s">
        <v>12</v>
      </c>
      <c r="E389" s="1" t="s">
        <v>13</v>
      </c>
      <c r="F389" s="1" t="s">
        <v>29</v>
      </c>
      <c r="G389" s="1">
        <v>30.62</v>
      </c>
      <c r="H389" s="1">
        <v>1</v>
      </c>
      <c r="I389" s="1">
        <f t="shared" si="12"/>
        <v>1.5310000000000001</v>
      </c>
      <c r="J389">
        <f t="shared" si="13"/>
        <v>32.151000000000003</v>
      </c>
    </row>
    <row r="390" spans="1:10" x14ac:dyDescent="0.3">
      <c r="A390" s="1" t="s">
        <v>9</v>
      </c>
      <c r="B390" s="1" t="s">
        <v>412</v>
      </c>
      <c r="C390" s="1" t="s">
        <v>16</v>
      </c>
      <c r="D390" s="1" t="s">
        <v>17</v>
      </c>
      <c r="E390" s="1" t="s">
        <v>18</v>
      </c>
      <c r="F390" s="1" t="s">
        <v>22</v>
      </c>
      <c r="G390" s="1">
        <v>44.01</v>
      </c>
      <c r="H390" s="1">
        <v>8</v>
      </c>
      <c r="I390" s="1">
        <f t="shared" si="12"/>
        <v>17.603999999999999</v>
      </c>
      <c r="J390">
        <f t="shared" si="13"/>
        <v>369.68399999999997</v>
      </c>
    </row>
    <row r="391" spans="1:10" x14ac:dyDescent="0.3">
      <c r="A391" s="1" t="s">
        <v>9</v>
      </c>
      <c r="B391" s="1" t="s">
        <v>413</v>
      </c>
      <c r="C391" s="1" t="s">
        <v>16</v>
      </c>
      <c r="D391" s="1" t="s">
        <v>17</v>
      </c>
      <c r="E391" s="1" t="s">
        <v>13</v>
      </c>
      <c r="F391" s="1" t="s">
        <v>14</v>
      </c>
      <c r="G391" s="1">
        <v>10.16</v>
      </c>
      <c r="H391" s="1">
        <v>5</v>
      </c>
      <c r="I391" s="1">
        <f t="shared" si="12"/>
        <v>2.54</v>
      </c>
      <c r="J391">
        <f t="shared" si="13"/>
        <v>53.339999999999996</v>
      </c>
    </row>
    <row r="392" spans="1:10" x14ac:dyDescent="0.3">
      <c r="A392" s="1" t="s">
        <v>9</v>
      </c>
      <c r="B392" s="1" t="s">
        <v>414</v>
      </c>
      <c r="C392" s="1" t="s">
        <v>16</v>
      </c>
      <c r="D392" s="1" t="s">
        <v>17</v>
      </c>
      <c r="E392" s="1" t="s">
        <v>18</v>
      </c>
      <c r="F392" s="1" t="s">
        <v>14</v>
      </c>
      <c r="G392" s="1">
        <v>10.99</v>
      </c>
      <c r="H392" s="1">
        <v>5</v>
      </c>
      <c r="I392" s="1">
        <f t="shared" si="12"/>
        <v>2.7475000000000005</v>
      </c>
      <c r="J392">
        <f t="shared" si="13"/>
        <v>57.697500000000005</v>
      </c>
    </row>
    <row r="393" spans="1:10" x14ac:dyDescent="0.3">
      <c r="A393" s="1" t="s">
        <v>9</v>
      </c>
      <c r="B393" s="1" t="s">
        <v>415</v>
      </c>
      <c r="C393" s="1" t="s">
        <v>25</v>
      </c>
      <c r="D393" s="1" t="s">
        <v>26</v>
      </c>
      <c r="E393" s="1" t="s">
        <v>18</v>
      </c>
      <c r="F393" s="1" t="s">
        <v>22</v>
      </c>
      <c r="G393" s="1">
        <v>97.37</v>
      </c>
      <c r="H393" s="1">
        <v>10</v>
      </c>
      <c r="I393" s="1">
        <f t="shared" si="12"/>
        <v>48.685000000000002</v>
      </c>
      <c r="J393">
        <f t="shared" si="13"/>
        <v>1022.385</v>
      </c>
    </row>
    <row r="394" spans="1:10" x14ac:dyDescent="0.3">
      <c r="A394" s="1" t="s">
        <v>9</v>
      </c>
      <c r="B394" s="1" t="s">
        <v>416</v>
      </c>
      <c r="C394" s="1" t="s">
        <v>11</v>
      </c>
      <c r="D394" s="1" t="s">
        <v>12</v>
      </c>
      <c r="E394" s="1" t="s">
        <v>18</v>
      </c>
      <c r="F394" s="1" t="s">
        <v>19</v>
      </c>
      <c r="G394" s="1">
        <v>46.61</v>
      </c>
      <c r="H394" s="1">
        <v>2</v>
      </c>
      <c r="I394" s="1">
        <f t="shared" si="12"/>
        <v>4.6610000000000005</v>
      </c>
      <c r="J394">
        <f t="shared" si="13"/>
        <v>97.881</v>
      </c>
    </row>
    <row r="395" spans="1:10" x14ac:dyDescent="0.3">
      <c r="A395" s="1" t="s">
        <v>9</v>
      </c>
      <c r="B395" s="1" t="s">
        <v>417</v>
      </c>
      <c r="C395" s="1" t="s">
        <v>16</v>
      </c>
      <c r="D395" s="1" t="s">
        <v>17</v>
      </c>
      <c r="E395" s="1" t="s">
        <v>13</v>
      </c>
      <c r="F395" s="1" t="s">
        <v>22</v>
      </c>
      <c r="G395" s="1">
        <v>60.87</v>
      </c>
      <c r="H395" s="1">
        <v>1</v>
      </c>
      <c r="I395" s="1">
        <f t="shared" si="12"/>
        <v>3.0434999999999999</v>
      </c>
      <c r="J395">
        <f t="shared" si="13"/>
        <v>63.913499999999999</v>
      </c>
    </row>
    <row r="396" spans="1:10" x14ac:dyDescent="0.3">
      <c r="A396" s="1" t="s">
        <v>9</v>
      </c>
      <c r="B396" s="1" t="s">
        <v>418</v>
      </c>
      <c r="C396" s="1" t="s">
        <v>11</v>
      </c>
      <c r="D396" s="1" t="s">
        <v>12</v>
      </c>
      <c r="E396" s="1" t="s">
        <v>13</v>
      </c>
      <c r="F396" s="1" t="s">
        <v>33</v>
      </c>
      <c r="G396" s="1">
        <v>24.49</v>
      </c>
      <c r="H396" s="1">
        <v>10</v>
      </c>
      <c r="I396" s="1">
        <f t="shared" si="12"/>
        <v>12.244999999999999</v>
      </c>
      <c r="J396">
        <f t="shared" si="13"/>
        <v>257.14499999999998</v>
      </c>
    </row>
    <row r="397" spans="1:10" x14ac:dyDescent="0.3">
      <c r="A397" s="1" t="s">
        <v>9</v>
      </c>
      <c r="B397" s="1" t="s">
        <v>419</v>
      </c>
      <c r="C397" s="1" t="s">
        <v>16</v>
      </c>
      <c r="D397" s="1" t="s">
        <v>17</v>
      </c>
      <c r="E397" s="1" t="s">
        <v>13</v>
      </c>
      <c r="F397" s="1" t="s">
        <v>19</v>
      </c>
      <c r="G397" s="1">
        <v>30.2</v>
      </c>
      <c r="H397" s="1">
        <v>8</v>
      </c>
      <c r="I397" s="1">
        <f t="shared" si="12"/>
        <v>12.08</v>
      </c>
      <c r="J397">
        <f t="shared" si="13"/>
        <v>253.68</v>
      </c>
    </row>
    <row r="398" spans="1:10" x14ac:dyDescent="0.3">
      <c r="A398" s="1" t="s">
        <v>9</v>
      </c>
      <c r="B398" s="1" t="s">
        <v>420</v>
      </c>
      <c r="C398" s="1" t="s">
        <v>11</v>
      </c>
      <c r="D398" s="1" t="s">
        <v>12</v>
      </c>
      <c r="E398" s="1" t="s">
        <v>13</v>
      </c>
      <c r="F398" s="1" t="s">
        <v>29</v>
      </c>
      <c r="G398" s="1">
        <v>48.96</v>
      </c>
      <c r="H398" s="1">
        <v>9</v>
      </c>
      <c r="I398" s="1">
        <f t="shared" si="12"/>
        <v>22.032</v>
      </c>
      <c r="J398">
        <f t="shared" si="13"/>
        <v>462.67199999999997</v>
      </c>
    </row>
    <row r="399" spans="1:10" x14ac:dyDescent="0.3">
      <c r="A399" s="1" t="s">
        <v>9</v>
      </c>
      <c r="B399" s="1" t="s">
        <v>421</v>
      </c>
      <c r="C399" s="1" t="s">
        <v>25</v>
      </c>
      <c r="D399" s="1" t="s">
        <v>26</v>
      </c>
      <c r="E399" s="1" t="s">
        <v>13</v>
      </c>
      <c r="F399" s="1" t="s">
        <v>19</v>
      </c>
      <c r="G399" s="1">
        <v>75.59</v>
      </c>
      <c r="H399" s="1">
        <v>9</v>
      </c>
      <c r="I399" s="1">
        <f t="shared" si="12"/>
        <v>34.015500000000003</v>
      </c>
      <c r="J399">
        <f t="shared" si="13"/>
        <v>714.32550000000003</v>
      </c>
    </row>
    <row r="400" spans="1:10" x14ac:dyDescent="0.3">
      <c r="A400" s="1" t="s">
        <v>9</v>
      </c>
      <c r="B400" s="1" t="s">
        <v>422</v>
      </c>
      <c r="C400" s="1" t="s">
        <v>11</v>
      </c>
      <c r="D400" s="1" t="s">
        <v>12</v>
      </c>
      <c r="E400" s="1" t="s">
        <v>18</v>
      </c>
      <c r="F400" s="1" t="s">
        <v>22</v>
      </c>
      <c r="G400" s="1">
        <v>77.47</v>
      </c>
      <c r="H400" s="1">
        <v>4</v>
      </c>
      <c r="I400" s="1">
        <f t="shared" si="12"/>
        <v>15.494</v>
      </c>
      <c r="J400">
        <f t="shared" si="13"/>
        <v>325.37400000000002</v>
      </c>
    </row>
    <row r="401" spans="1:10" x14ac:dyDescent="0.3">
      <c r="A401" s="1" t="s">
        <v>9</v>
      </c>
      <c r="B401" s="1" t="s">
        <v>423</v>
      </c>
      <c r="C401" s="1" t="s">
        <v>11</v>
      </c>
      <c r="D401" s="1" t="s">
        <v>12</v>
      </c>
      <c r="E401" s="1" t="s">
        <v>18</v>
      </c>
      <c r="F401" s="1" t="s">
        <v>33</v>
      </c>
      <c r="G401" s="1">
        <v>93.18</v>
      </c>
      <c r="H401" s="1">
        <v>2</v>
      </c>
      <c r="I401" s="1">
        <f t="shared" si="12"/>
        <v>9.3180000000000014</v>
      </c>
      <c r="J401">
        <f t="shared" si="13"/>
        <v>195.67800000000003</v>
      </c>
    </row>
    <row r="402" spans="1:10" x14ac:dyDescent="0.3">
      <c r="A402" s="1" t="s">
        <v>9</v>
      </c>
      <c r="B402" s="1" t="s">
        <v>424</v>
      </c>
      <c r="C402" s="1" t="s">
        <v>11</v>
      </c>
      <c r="D402" s="1" t="s">
        <v>12</v>
      </c>
      <c r="E402" s="1" t="s">
        <v>18</v>
      </c>
      <c r="F402" s="1" t="s">
        <v>19</v>
      </c>
      <c r="G402" s="1">
        <v>50.23</v>
      </c>
      <c r="H402" s="1">
        <v>4</v>
      </c>
      <c r="I402" s="1">
        <f t="shared" si="12"/>
        <v>10.045999999999999</v>
      </c>
      <c r="J402">
        <f t="shared" si="13"/>
        <v>210.96599999999998</v>
      </c>
    </row>
    <row r="403" spans="1:10" x14ac:dyDescent="0.3">
      <c r="A403" s="1" t="s">
        <v>9</v>
      </c>
      <c r="B403" s="1" t="s">
        <v>425</v>
      </c>
      <c r="C403" s="1" t="s">
        <v>25</v>
      </c>
      <c r="D403" s="1" t="s">
        <v>26</v>
      </c>
      <c r="E403" s="1" t="s">
        <v>18</v>
      </c>
      <c r="F403" s="1" t="s">
        <v>14</v>
      </c>
      <c r="G403" s="1">
        <v>17.75</v>
      </c>
      <c r="H403" s="1">
        <v>1</v>
      </c>
      <c r="I403" s="1">
        <f t="shared" si="12"/>
        <v>0.88750000000000007</v>
      </c>
      <c r="J403">
        <f t="shared" si="13"/>
        <v>18.637499999999999</v>
      </c>
    </row>
    <row r="404" spans="1:10" x14ac:dyDescent="0.3">
      <c r="A404" s="1" t="s">
        <v>9</v>
      </c>
      <c r="B404" s="1" t="s">
        <v>426</v>
      </c>
      <c r="C404" s="1" t="s">
        <v>16</v>
      </c>
      <c r="D404" s="1" t="s">
        <v>17</v>
      </c>
      <c r="E404" s="1" t="s">
        <v>18</v>
      </c>
      <c r="F404" s="1" t="s">
        <v>29</v>
      </c>
      <c r="G404" s="1">
        <v>62.18</v>
      </c>
      <c r="H404" s="1">
        <v>10</v>
      </c>
      <c r="I404" s="1">
        <f t="shared" si="12"/>
        <v>31.09</v>
      </c>
      <c r="J404">
        <f t="shared" si="13"/>
        <v>652.89</v>
      </c>
    </row>
    <row r="405" spans="1:10" x14ac:dyDescent="0.3">
      <c r="A405" s="1" t="s">
        <v>9</v>
      </c>
      <c r="B405" s="1" t="s">
        <v>427</v>
      </c>
      <c r="C405" s="1" t="s">
        <v>11</v>
      </c>
      <c r="D405" s="1" t="s">
        <v>12</v>
      </c>
      <c r="E405" s="1" t="s">
        <v>18</v>
      </c>
      <c r="F405" s="1" t="s">
        <v>19</v>
      </c>
      <c r="G405" s="1">
        <v>40.26</v>
      </c>
      <c r="H405" s="1">
        <v>10</v>
      </c>
      <c r="I405" s="1">
        <f t="shared" si="12"/>
        <v>20.13</v>
      </c>
      <c r="J405">
        <f t="shared" si="13"/>
        <v>422.72999999999996</v>
      </c>
    </row>
    <row r="406" spans="1:10" x14ac:dyDescent="0.3">
      <c r="A406" s="1" t="s">
        <v>9</v>
      </c>
      <c r="B406" s="1" t="s">
        <v>428</v>
      </c>
      <c r="C406" s="1" t="s">
        <v>16</v>
      </c>
      <c r="D406" s="1" t="s">
        <v>17</v>
      </c>
      <c r="E406" s="1" t="s">
        <v>13</v>
      </c>
      <c r="F406" s="1" t="s">
        <v>33</v>
      </c>
      <c r="G406" s="1">
        <v>64.97</v>
      </c>
      <c r="H406" s="1">
        <v>5</v>
      </c>
      <c r="I406" s="1">
        <f t="shared" si="12"/>
        <v>16.242500000000003</v>
      </c>
      <c r="J406">
        <f t="shared" si="13"/>
        <v>341.09250000000003</v>
      </c>
    </row>
    <row r="407" spans="1:10" x14ac:dyDescent="0.3">
      <c r="A407" s="1" t="s">
        <v>9</v>
      </c>
      <c r="B407" s="1" t="s">
        <v>429</v>
      </c>
      <c r="C407" s="1" t="s">
        <v>11</v>
      </c>
      <c r="D407" s="1" t="s">
        <v>12</v>
      </c>
      <c r="E407" s="1" t="s">
        <v>13</v>
      </c>
      <c r="F407" s="1" t="s">
        <v>19</v>
      </c>
      <c r="G407" s="1">
        <v>48.62</v>
      </c>
      <c r="H407" s="1">
        <v>8</v>
      </c>
      <c r="I407" s="1">
        <f t="shared" si="12"/>
        <v>19.448</v>
      </c>
      <c r="J407">
        <f t="shared" si="13"/>
        <v>408.40799999999996</v>
      </c>
    </row>
    <row r="408" spans="1:10" x14ac:dyDescent="0.3">
      <c r="A408" s="1" t="s">
        <v>9</v>
      </c>
      <c r="B408" s="1" t="s">
        <v>430</v>
      </c>
      <c r="C408" s="1" t="s">
        <v>25</v>
      </c>
      <c r="D408" s="1" t="s">
        <v>26</v>
      </c>
      <c r="E408" s="1" t="s">
        <v>18</v>
      </c>
      <c r="F408" s="1" t="s">
        <v>27</v>
      </c>
      <c r="G408" s="1">
        <v>53.21</v>
      </c>
      <c r="H408" s="1">
        <v>8</v>
      </c>
      <c r="I408" s="1">
        <f t="shared" si="12"/>
        <v>21.284000000000002</v>
      </c>
      <c r="J408">
        <f t="shared" si="13"/>
        <v>446.964</v>
      </c>
    </row>
    <row r="409" spans="1:10" x14ac:dyDescent="0.3">
      <c r="A409" s="1" t="s">
        <v>9</v>
      </c>
      <c r="B409" s="1" t="s">
        <v>431</v>
      </c>
      <c r="C409" s="1" t="s">
        <v>16</v>
      </c>
      <c r="D409" s="1" t="s">
        <v>17</v>
      </c>
      <c r="E409" s="1" t="s">
        <v>18</v>
      </c>
      <c r="F409" s="1" t="s">
        <v>29</v>
      </c>
      <c r="G409" s="1">
        <v>45.44</v>
      </c>
      <c r="H409" s="1">
        <v>7</v>
      </c>
      <c r="I409" s="1">
        <f t="shared" ref="I409:I472" si="14">(G409*H409)*5%</f>
        <v>15.904</v>
      </c>
      <c r="J409">
        <f t="shared" si="13"/>
        <v>333.98399999999998</v>
      </c>
    </row>
    <row r="410" spans="1:10" x14ac:dyDescent="0.3">
      <c r="A410" s="1" t="s">
        <v>9</v>
      </c>
      <c r="B410" s="1" t="s">
        <v>432</v>
      </c>
      <c r="C410" s="1" t="s">
        <v>11</v>
      </c>
      <c r="D410" s="1" t="s">
        <v>12</v>
      </c>
      <c r="E410" s="1" t="s">
        <v>13</v>
      </c>
      <c r="F410" s="1" t="s">
        <v>22</v>
      </c>
      <c r="G410" s="1">
        <v>47.68</v>
      </c>
      <c r="H410" s="1">
        <v>2</v>
      </c>
      <c r="I410" s="1">
        <f t="shared" si="14"/>
        <v>4.7679999999999998</v>
      </c>
      <c r="J410">
        <f t="shared" si="13"/>
        <v>100.128</v>
      </c>
    </row>
    <row r="411" spans="1:10" x14ac:dyDescent="0.3">
      <c r="A411" s="1" t="s">
        <v>9</v>
      </c>
      <c r="B411" s="1" t="s">
        <v>433</v>
      </c>
      <c r="C411" s="1" t="s">
        <v>11</v>
      </c>
      <c r="D411" s="1" t="s">
        <v>12</v>
      </c>
      <c r="E411" s="1" t="s">
        <v>18</v>
      </c>
      <c r="F411" s="1" t="s">
        <v>14</v>
      </c>
      <c r="G411" s="1">
        <v>68.709999999999994</v>
      </c>
      <c r="H411" s="1">
        <v>3</v>
      </c>
      <c r="I411" s="1">
        <f t="shared" si="14"/>
        <v>10.3065</v>
      </c>
      <c r="J411">
        <f t="shared" si="13"/>
        <v>216.4365</v>
      </c>
    </row>
    <row r="412" spans="1:10" x14ac:dyDescent="0.3">
      <c r="A412" s="1" t="s">
        <v>9</v>
      </c>
      <c r="B412" s="1" t="s">
        <v>434</v>
      </c>
      <c r="C412" s="1" t="s">
        <v>25</v>
      </c>
      <c r="D412" s="1" t="s">
        <v>26</v>
      </c>
      <c r="E412" s="1" t="s">
        <v>13</v>
      </c>
      <c r="F412" s="1" t="s">
        <v>33</v>
      </c>
      <c r="G412" s="1">
        <v>60.08</v>
      </c>
      <c r="H412" s="1">
        <v>7</v>
      </c>
      <c r="I412" s="1">
        <f t="shared" si="14"/>
        <v>21.028000000000002</v>
      </c>
      <c r="J412">
        <f t="shared" si="13"/>
        <v>441.58800000000002</v>
      </c>
    </row>
    <row r="413" spans="1:10" x14ac:dyDescent="0.3">
      <c r="A413" s="1" t="s">
        <v>9</v>
      </c>
      <c r="B413" s="1" t="s">
        <v>435</v>
      </c>
      <c r="C413" s="1" t="s">
        <v>11</v>
      </c>
      <c r="D413" s="1" t="s">
        <v>12</v>
      </c>
      <c r="E413" s="1" t="s">
        <v>13</v>
      </c>
      <c r="F413" s="1" t="s">
        <v>33</v>
      </c>
      <c r="G413" s="1">
        <v>22.01</v>
      </c>
      <c r="H413" s="1">
        <v>4</v>
      </c>
      <c r="I413" s="1">
        <f t="shared" si="14"/>
        <v>4.4020000000000001</v>
      </c>
      <c r="J413">
        <f t="shared" si="13"/>
        <v>92.442000000000007</v>
      </c>
    </row>
    <row r="414" spans="1:10" x14ac:dyDescent="0.3">
      <c r="A414" s="1" t="s">
        <v>9</v>
      </c>
      <c r="B414" s="1" t="s">
        <v>436</v>
      </c>
      <c r="C414" s="1" t="s">
        <v>25</v>
      </c>
      <c r="D414" s="1" t="s">
        <v>26</v>
      </c>
      <c r="E414" s="1" t="s">
        <v>13</v>
      </c>
      <c r="F414" s="1" t="s">
        <v>14</v>
      </c>
      <c r="G414" s="1">
        <v>72.11</v>
      </c>
      <c r="H414" s="1">
        <v>9</v>
      </c>
      <c r="I414" s="1">
        <f t="shared" si="14"/>
        <v>32.4495</v>
      </c>
      <c r="J414">
        <f t="shared" si="13"/>
        <v>681.43949999999995</v>
      </c>
    </row>
    <row r="415" spans="1:10" x14ac:dyDescent="0.3">
      <c r="A415" s="1" t="s">
        <v>9</v>
      </c>
      <c r="B415" s="1" t="s">
        <v>437</v>
      </c>
      <c r="C415" s="1" t="s">
        <v>11</v>
      </c>
      <c r="D415" s="1" t="s">
        <v>12</v>
      </c>
      <c r="E415" s="1" t="s">
        <v>13</v>
      </c>
      <c r="F415" s="1" t="s">
        <v>19</v>
      </c>
      <c r="G415" s="1">
        <v>74.22</v>
      </c>
      <c r="H415" s="1">
        <v>10</v>
      </c>
      <c r="I415" s="1">
        <f t="shared" si="14"/>
        <v>37.110000000000007</v>
      </c>
      <c r="J415">
        <f t="shared" si="13"/>
        <v>779.31000000000006</v>
      </c>
    </row>
    <row r="416" spans="1:10" x14ac:dyDescent="0.3">
      <c r="A416" s="1" t="s">
        <v>9</v>
      </c>
      <c r="B416" s="1" t="s">
        <v>438</v>
      </c>
      <c r="C416" s="1" t="s">
        <v>25</v>
      </c>
      <c r="D416" s="1" t="s">
        <v>26</v>
      </c>
      <c r="E416" s="1" t="s">
        <v>13</v>
      </c>
      <c r="F416" s="1" t="s">
        <v>33</v>
      </c>
      <c r="G416" s="1">
        <v>11.85</v>
      </c>
      <c r="H416" s="1">
        <v>8</v>
      </c>
      <c r="I416" s="1">
        <f t="shared" si="14"/>
        <v>4.74</v>
      </c>
      <c r="J416">
        <f t="shared" si="13"/>
        <v>99.539999999999992</v>
      </c>
    </row>
    <row r="417" spans="1:10" x14ac:dyDescent="0.3">
      <c r="A417" s="1" t="s">
        <v>9</v>
      </c>
      <c r="B417" s="1" t="s">
        <v>439</v>
      </c>
      <c r="C417" s="1" t="s">
        <v>25</v>
      </c>
      <c r="D417" s="1" t="s">
        <v>26</v>
      </c>
      <c r="E417" s="1" t="s">
        <v>13</v>
      </c>
      <c r="F417" s="1" t="s">
        <v>22</v>
      </c>
      <c r="G417" s="1">
        <v>40.729999999999997</v>
      </c>
      <c r="H417" s="1">
        <v>7</v>
      </c>
      <c r="I417" s="1">
        <f t="shared" si="14"/>
        <v>14.255499999999998</v>
      </c>
      <c r="J417">
        <f t="shared" si="13"/>
        <v>299.36549999999994</v>
      </c>
    </row>
    <row r="418" spans="1:10" x14ac:dyDescent="0.3">
      <c r="A418" s="1" t="s">
        <v>9</v>
      </c>
      <c r="B418" s="1" t="s">
        <v>440</v>
      </c>
      <c r="C418" s="1" t="s">
        <v>16</v>
      </c>
      <c r="D418" s="1" t="s">
        <v>17</v>
      </c>
      <c r="E418" s="1" t="s">
        <v>13</v>
      </c>
      <c r="F418" s="1" t="s">
        <v>33</v>
      </c>
      <c r="G418" s="1">
        <v>29.22</v>
      </c>
      <c r="H418" s="1">
        <v>6</v>
      </c>
      <c r="I418" s="1">
        <f t="shared" si="14"/>
        <v>8.766</v>
      </c>
      <c r="J418">
        <f t="shared" si="13"/>
        <v>184.08599999999998</v>
      </c>
    </row>
    <row r="419" spans="1:10" x14ac:dyDescent="0.3">
      <c r="A419" s="1" t="s">
        <v>9</v>
      </c>
      <c r="B419" s="1" t="s">
        <v>441</v>
      </c>
      <c r="C419" s="1" t="s">
        <v>11</v>
      </c>
      <c r="D419" s="1" t="s">
        <v>12</v>
      </c>
      <c r="E419" s="1" t="s">
        <v>13</v>
      </c>
      <c r="F419" s="1" t="s">
        <v>33</v>
      </c>
      <c r="G419" s="1">
        <v>39.47</v>
      </c>
      <c r="H419" s="1">
        <v>2</v>
      </c>
      <c r="I419" s="1">
        <f t="shared" si="14"/>
        <v>3.9470000000000001</v>
      </c>
      <c r="J419">
        <f t="shared" si="13"/>
        <v>82.887</v>
      </c>
    </row>
    <row r="420" spans="1:10" x14ac:dyDescent="0.3">
      <c r="A420" s="1" t="s">
        <v>9</v>
      </c>
      <c r="B420" s="1" t="s">
        <v>442</v>
      </c>
      <c r="C420" s="1" t="s">
        <v>16</v>
      </c>
      <c r="D420" s="1" t="s">
        <v>17</v>
      </c>
      <c r="E420" s="1" t="s">
        <v>13</v>
      </c>
      <c r="F420" s="1" t="s">
        <v>27</v>
      </c>
      <c r="G420" s="1">
        <v>14.87</v>
      </c>
      <c r="H420" s="1">
        <v>2</v>
      </c>
      <c r="I420" s="1">
        <f t="shared" si="14"/>
        <v>1.4870000000000001</v>
      </c>
      <c r="J420">
        <f t="shared" si="13"/>
        <v>31.226999999999997</v>
      </c>
    </row>
    <row r="421" spans="1:10" x14ac:dyDescent="0.3">
      <c r="A421" s="1" t="s">
        <v>9</v>
      </c>
      <c r="B421" s="1" t="s">
        <v>443</v>
      </c>
      <c r="C421" s="1" t="s">
        <v>16</v>
      </c>
      <c r="D421" s="1" t="s">
        <v>17</v>
      </c>
      <c r="E421" s="1" t="s">
        <v>18</v>
      </c>
      <c r="F421" s="1" t="s">
        <v>33</v>
      </c>
      <c r="G421" s="1">
        <v>22.38</v>
      </c>
      <c r="H421" s="1">
        <v>1</v>
      </c>
      <c r="I421" s="1">
        <f t="shared" si="14"/>
        <v>1.119</v>
      </c>
      <c r="J421">
        <f t="shared" si="13"/>
        <v>23.498999999999999</v>
      </c>
    </row>
    <row r="422" spans="1:10" x14ac:dyDescent="0.3">
      <c r="A422" s="1" t="s">
        <v>9</v>
      </c>
      <c r="B422" s="1" t="s">
        <v>444</v>
      </c>
      <c r="C422" s="1" t="s">
        <v>16</v>
      </c>
      <c r="D422" s="1" t="s">
        <v>17</v>
      </c>
      <c r="E422" s="1" t="s">
        <v>13</v>
      </c>
      <c r="F422" s="1" t="s">
        <v>27</v>
      </c>
      <c r="G422" s="1">
        <v>72.88</v>
      </c>
      <c r="H422" s="1">
        <v>9</v>
      </c>
      <c r="I422" s="1">
        <f t="shared" si="14"/>
        <v>32.795999999999999</v>
      </c>
      <c r="J422">
        <f t="shared" si="13"/>
        <v>688.71600000000001</v>
      </c>
    </row>
    <row r="423" spans="1:10" x14ac:dyDescent="0.3">
      <c r="A423" s="1" t="s">
        <v>9</v>
      </c>
      <c r="B423" s="1" t="s">
        <v>445</v>
      </c>
      <c r="C423" s="1" t="s">
        <v>11</v>
      </c>
      <c r="D423" s="1" t="s">
        <v>12</v>
      </c>
      <c r="E423" s="1" t="s">
        <v>18</v>
      </c>
      <c r="F423" s="1" t="s">
        <v>29</v>
      </c>
      <c r="G423" s="1">
        <v>99.1</v>
      </c>
      <c r="H423" s="1">
        <v>6</v>
      </c>
      <c r="I423" s="1">
        <f t="shared" si="14"/>
        <v>29.729999999999997</v>
      </c>
      <c r="J423">
        <f t="shared" si="13"/>
        <v>624.32999999999993</v>
      </c>
    </row>
    <row r="424" spans="1:10" x14ac:dyDescent="0.3">
      <c r="A424" s="1" t="s">
        <v>9</v>
      </c>
      <c r="B424" s="1" t="s">
        <v>446</v>
      </c>
      <c r="C424" s="1" t="s">
        <v>11</v>
      </c>
      <c r="D424" s="1" t="s">
        <v>12</v>
      </c>
      <c r="E424" s="1" t="s">
        <v>18</v>
      </c>
      <c r="F424" s="1" t="s">
        <v>29</v>
      </c>
      <c r="G424" s="1">
        <v>98.48</v>
      </c>
      <c r="H424" s="1">
        <v>2</v>
      </c>
      <c r="I424" s="1">
        <f t="shared" si="14"/>
        <v>9.8480000000000008</v>
      </c>
      <c r="J424">
        <f t="shared" si="13"/>
        <v>206.80800000000002</v>
      </c>
    </row>
    <row r="425" spans="1:10" x14ac:dyDescent="0.3">
      <c r="A425" s="1" t="s">
        <v>9</v>
      </c>
      <c r="B425" s="1" t="s">
        <v>447</v>
      </c>
      <c r="C425" s="1" t="s">
        <v>25</v>
      </c>
      <c r="D425" s="1" t="s">
        <v>26</v>
      </c>
      <c r="E425" s="1" t="s">
        <v>18</v>
      </c>
      <c r="F425" s="1" t="s">
        <v>19</v>
      </c>
      <c r="G425" s="1">
        <v>52.79</v>
      </c>
      <c r="H425" s="1">
        <v>10</v>
      </c>
      <c r="I425" s="1">
        <f t="shared" si="14"/>
        <v>26.395</v>
      </c>
      <c r="J425">
        <f t="shared" si="13"/>
        <v>554.29499999999996</v>
      </c>
    </row>
    <row r="426" spans="1:10" x14ac:dyDescent="0.3">
      <c r="A426" s="1" t="s">
        <v>9</v>
      </c>
      <c r="B426" s="1" t="s">
        <v>448</v>
      </c>
      <c r="C426" s="1" t="s">
        <v>11</v>
      </c>
      <c r="D426" s="1" t="s">
        <v>12</v>
      </c>
      <c r="E426" s="1" t="s">
        <v>13</v>
      </c>
      <c r="F426" s="1" t="s">
        <v>14</v>
      </c>
      <c r="G426" s="1">
        <v>95.95</v>
      </c>
      <c r="H426" s="1">
        <v>5</v>
      </c>
      <c r="I426" s="1">
        <f t="shared" si="14"/>
        <v>23.987500000000001</v>
      </c>
      <c r="J426">
        <f t="shared" si="13"/>
        <v>503.73750000000001</v>
      </c>
    </row>
    <row r="427" spans="1:10" x14ac:dyDescent="0.3">
      <c r="A427" s="1" t="s">
        <v>9</v>
      </c>
      <c r="B427" s="1" t="s">
        <v>449</v>
      </c>
      <c r="C427" s="1" t="s">
        <v>25</v>
      </c>
      <c r="D427" s="1" t="s">
        <v>26</v>
      </c>
      <c r="E427" s="1" t="s">
        <v>18</v>
      </c>
      <c r="F427" s="1" t="s">
        <v>29</v>
      </c>
      <c r="G427" s="1">
        <v>36.51</v>
      </c>
      <c r="H427" s="1">
        <v>9</v>
      </c>
      <c r="I427" s="1">
        <f t="shared" si="14"/>
        <v>16.429500000000001</v>
      </c>
      <c r="J427">
        <f t="shared" si="13"/>
        <v>345.01949999999999</v>
      </c>
    </row>
    <row r="428" spans="1:10" x14ac:dyDescent="0.3">
      <c r="A428" s="1" t="s">
        <v>9</v>
      </c>
      <c r="B428" s="1" t="s">
        <v>450</v>
      </c>
      <c r="C428" s="1" t="s">
        <v>11</v>
      </c>
      <c r="D428" s="1" t="s">
        <v>12</v>
      </c>
      <c r="E428" s="1" t="s">
        <v>13</v>
      </c>
      <c r="F428" s="1" t="s">
        <v>22</v>
      </c>
      <c r="G428" s="1">
        <v>28.31</v>
      </c>
      <c r="H428" s="1">
        <v>4</v>
      </c>
      <c r="I428" s="1">
        <f t="shared" si="14"/>
        <v>5.6619999999999999</v>
      </c>
      <c r="J428">
        <f t="shared" si="13"/>
        <v>118.902</v>
      </c>
    </row>
    <row r="429" spans="1:10" x14ac:dyDescent="0.3">
      <c r="A429" s="1" t="s">
        <v>9</v>
      </c>
      <c r="B429" s="1" t="s">
        <v>451</v>
      </c>
      <c r="C429" s="1" t="s">
        <v>11</v>
      </c>
      <c r="D429" s="1" t="s">
        <v>12</v>
      </c>
      <c r="E429" s="1" t="s">
        <v>13</v>
      </c>
      <c r="F429" s="1" t="s">
        <v>27</v>
      </c>
      <c r="G429" s="1">
        <v>47.63</v>
      </c>
      <c r="H429" s="1">
        <v>9</v>
      </c>
      <c r="I429" s="1">
        <f t="shared" si="14"/>
        <v>21.433500000000002</v>
      </c>
      <c r="J429">
        <f t="shared" si="13"/>
        <v>450.1035</v>
      </c>
    </row>
    <row r="430" spans="1:10" x14ac:dyDescent="0.3">
      <c r="A430" s="1" t="s">
        <v>9</v>
      </c>
      <c r="B430" s="1" t="s">
        <v>452</v>
      </c>
      <c r="C430" s="1" t="s">
        <v>16</v>
      </c>
      <c r="D430" s="1" t="s">
        <v>17</v>
      </c>
      <c r="E430" s="1" t="s">
        <v>13</v>
      </c>
      <c r="F430" s="1" t="s">
        <v>22</v>
      </c>
      <c r="G430" s="1">
        <v>86.27</v>
      </c>
      <c r="H430" s="1">
        <v>1</v>
      </c>
      <c r="I430" s="1">
        <f t="shared" si="14"/>
        <v>4.3135000000000003</v>
      </c>
      <c r="J430">
        <f t="shared" si="13"/>
        <v>90.583500000000001</v>
      </c>
    </row>
    <row r="431" spans="1:10" x14ac:dyDescent="0.3">
      <c r="A431" s="1" t="s">
        <v>9</v>
      </c>
      <c r="B431" s="1" t="s">
        <v>453</v>
      </c>
      <c r="C431" s="1" t="s">
        <v>25</v>
      </c>
      <c r="D431" s="1" t="s">
        <v>26</v>
      </c>
      <c r="E431" s="1" t="s">
        <v>18</v>
      </c>
      <c r="F431" s="1" t="s">
        <v>22</v>
      </c>
      <c r="G431" s="1">
        <v>11.28</v>
      </c>
      <c r="H431" s="1">
        <v>9</v>
      </c>
      <c r="I431" s="1">
        <f t="shared" si="14"/>
        <v>5.0760000000000005</v>
      </c>
      <c r="J431">
        <f t="shared" si="13"/>
        <v>106.596</v>
      </c>
    </row>
    <row r="432" spans="1:10" x14ac:dyDescent="0.3">
      <c r="A432" s="1" t="s">
        <v>9</v>
      </c>
      <c r="B432" s="1" t="s">
        <v>454</v>
      </c>
      <c r="C432" s="1" t="s">
        <v>25</v>
      </c>
      <c r="D432" s="1" t="s">
        <v>26</v>
      </c>
      <c r="E432" s="1" t="s">
        <v>18</v>
      </c>
      <c r="F432" s="1" t="s">
        <v>22</v>
      </c>
      <c r="G432" s="1">
        <v>51.07</v>
      </c>
      <c r="H432" s="1">
        <v>7</v>
      </c>
      <c r="I432" s="1">
        <f t="shared" si="14"/>
        <v>17.874500000000001</v>
      </c>
      <c r="J432">
        <f t="shared" si="13"/>
        <v>375.36450000000002</v>
      </c>
    </row>
    <row r="433" spans="1:10" x14ac:dyDescent="0.3">
      <c r="A433" s="1" t="s">
        <v>9</v>
      </c>
      <c r="B433" s="1" t="s">
        <v>455</v>
      </c>
      <c r="C433" s="1" t="s">
        <v>11</v>
      </c>
      <c r="D433" s="1" t="s">
        <v>12</v>
      </c>
      <c r="E433" s="1" t="s">
        <v>13</v>
      </c>
      <c r="F433" s="1" t="s">
        <v>19</v>
      </c>
      <c r="G433" s="1">
        <v>79.59</v>
      </c>
      <c r="H433" s="1">
        <v>3</v>
      </c>
      <c r="I433" s="1">
        <f t="shared" si="14"/>
        <v>11.938500000000001</v>
      </c>
      <c r="J433">
        <f t="shared" si="13"/>
        <v>250.70850000000002</v>
      </c>
    </row>
    <row r="434" spans="1:10" x14ac:dyDescent="0.3">
      <c r="A434" s="1" t="s">
        <v>9</v>
      </c>
      <c r="B434" s="1" t="s">
        <v>456</v>
      </c>
      <c r="C434" s="1" t="s">
        <v>16</v>
      </c>
      <c r="D434" s="1" t="s">
        <v>17</v>
      </c>
      <c r="E434" s="1" t="s">
        <v>13</v>
      </c>
      <c r="F434" s="1" t="s">
        <v>14</v>
      </c>
      <c r="G434" s="1">
        <v>62.82</v>
      </c>
      <c r="H434" s="1">
        <v>2</v>
      </c>
      <c r="I434" s="1">
        <f t="shared" si="14"/>
        <v>6.282</v>
      </c>
      <c r="J434">
        <f t="shared" si="13"/>
        <v>131.922</v>
      </c>
    </row>
    <row r="435" spans="1:10" x14ac:dyDescent="0.3">
      <c r="A435" s="1" t="s">
        <v>9</v>
      </c>
      <c r="B435" s="1" t="s">
        <v>457</v>
      </c>
      <c r="C435" s="1" t="s">
        <v>25</v>
      </c>
      <c r="D435" s="1" t="s">
        <v>26</v>
      </c>
      <c r="E435" s="1" t="s">
        <v>13</v>
      </c>
      <c r="F435" s="1" t="s">
        <v>19</v>
      </c>
      <c r="G435" s="1">
        <v>21.43</v>
      </c>
      <c r="H435" s="1">
        <v>10</v>
      </c>
      <c r="I435" s="1">
        <f t="shared" si="14"/>
        <v>10.715000000000002</v>
      </c>
      <c r="J435">
        <f t="shared" si="13"/>
        <v>225.01500000000001</v>
      </c>
    </row>
    <row r="436" spans="1:10" x14ac:dyDescent="0.3">
      <c r="A436" s="1" t="s">
        <v>9</v>
      </c>
      <c r="B436" s="1" t="s">
        <v>458</v>
      </c>
      <c r="C436" s="1" t="s">
        <v>11</v>
      </c>
      <c r="D436" s="1" t="s">
        <v>12</v>
      </c>
      <c r="E436" s="1" t="s">
        <v>18</v>
      </c>
      <c r="F436" s="1" t="s">
        <v>19</v>
      </c>
      <c r="G436" s="1">
        <v>90.02</v>
      </c>
      <c r="H436" s="1">
        <v>8</v>
      </c>
      <c r="I436" s="1">
        <f t="shared" si="14"/>
        <v>36.008000000000003</v>
      </c>
      <c r="J436">
        <f t="shared" si="13"/>
        <v>756.16800000000001</v>
      </c>
    </row>
    <row r="437" spans="1:10" x14ac:dyDescent="0.3">
      <c r="A437" s="1" t="s">
        <v>9</v>
      </c>
      <c r="B437" s="1" t="s">
        <v>459</v>
      </c>
      <c r="C437" s="1" t="s">
        <v>25</v>
      </c>
      <c r="D437" s="1" t="s">
        <v>26</v>
      </c>
      <c r="E437" s="1" t="s">
        <v>13</v>
      </c>
      <c r="F437" s="1" t="s">
        <v>19</v>
      </c>
      <c r="G437" s="1">
        <v>12.1</v>
      </c>
      <c r="H437" s="1">
        <v>8</v>
      </c>
      <c r="I437" s="1">
        <f t="shared" si="14"/>
        <v>4.84</v>
      </c>
      <c r="J437">
        <f t="shared" si="13"/>
        <v>101.64</v>
      </c>
    </row>
    <row r="438" spans="1:10" x14ac:dyDescent="0.3">
      <c r="A438" s="1" t="s">
        <v>9</v>
      </c>
      <c r="B438" s="1" t="s">
        <v>460</v>
      </c>
      <c r="C438" s="1" t="s">
        <v>25</v>
      </c>
      <c r="D438" s="1" t="s">
        <v>26</v>
      </c>
      <c r="E438" s="1" t="s">
        <v>13</v>
      </c>
      <c r="F438" s="1" t="s">
        <v>27</v>
      </c>
      <c r="G438" s="1">
        <v>33.21</v>
      </c>
      <c r="H438" s="1">
        <v>10</v>
      </c>
      <c r="I438" s="1">
        <f t="shared" si="14"/>
        <v>16.605</v>
      </c>
      <c r="J438">
        <f t="shared" si="13"/>
        <v>348.70500000000004</v>
      </c>
    </row>
    <row r="439" spans="1:10" x14ac:dyDescent="0.3">
      <c r="A439" s="1" t="s">
        <v>9</v>
      </c>
      <c r="B439" s="1" t="s">
        <v>461</v>
      </c>
      <c r="C439" s="1" t="s">
        <v>16</v>
      </c>
      <c r="D439" s="1" t="s">
        <v>17</v>
      </c>
      <c r="E439" s="1" t="s">
        <v>13</v>
      </c>
      <c r="F439" s="1" t="s">
        <v>29</v>
      </c>
      <c r="G439" s="1">
        <v>10.18</v>
      </c>
      <c r="H439" s="1">
        <v>8</v>
      </c>
      <c r="I439" s="1">
        <f t="shared" si="14"/>
        <v>4.0720000000000001</v>
      </c>
      <c r="J439">
        <f t="shared" si="13"/>
        <v>85.512</v>
      </c>
    </row>
    <row r="440" spans="1:10" x14ac:dyDescent="0.3">
      <c r="A440" s="1" t="s">
        <v>9</v>
      </c>
      <c r="B440" s="1" t="s">
        <v>462</v>
      </c>
      <c r="C440" s="1" t="s">
        <v>11</v>
      </c>
      <c r="D440" s="1" t="s">
        <v>12</v>
      </c>
      <c r="E440" s="1" t="s">
        <v>13</v>
      </c>
      <c r="F440" s="1" t="s">
        <v>22</v>
      </c>
      <c r="G440" s="1">
        <v>34.42</v>
      </c>
      <c r="H440" s="1">
        <v>6</v>
      </c>
      <c r="I440" s="1">
        <f t="shared" si="14"/>
        <v>10.326000000000001</v>
      </c>
      <c r="J440">
        <f t="shared" si="13"/>
        <v>216.846</v>
      </c>
    </row>
    <row r="441" spans="1:10" x14ac:dyDescent="0.3">
      <c r="A441" s="1" t="s">
        <v>9</v>
      </c>
      <c r="B441" s="1" t="s">
        <v>463</v>
      </c>
      <c r="C441" s="1" t="s">
        <v>11</v>
      </c>
      <c r="D441" s="1" t="s">
        <v>12</v>
      </c>
      <c r="E441" s="1" t="s">
        <v>13</v>
      </c>
      <c r="F441" s="1" t="s">
        <v>27</v>
      </c>
      <c r="G441" s="1">
        <v>83.34</v>
      </c>
      <c r="H441" s="1">
        <v>2</v>
      </c>
      <c r="I441" s="1">
        <f t="shared" si="14"/>
        <v>8.3340000000000014</v>
      </c>
      <c r="J441">
        <f t="shared" si="13"/>
        <v>175.01400000000001</v>
      </c>
    </row>
    <row r="442" spans="1:10" x14ac:dyDescent="0.3">
      <c r="A442" s="1" t="s">
        <v>9</v>
      </c>
      <c r="B442" s="1" t="s">
        <v>464</v>
      </c>
      <c r="C442" s="1" t="s">
        <v>11</v>
      </c>
      <c r="D442" s="1" t="s">
        <v>12</v>
      </c>
      <c r="E442" s="1" t="s">
        <v>13</v>
      </c>
      <c r="F442" s="1" t="s">
        <v>19</v>
      </c>
      <c r="G442" s="1">
        <v>73.47</v>
      </c>
      <c r="H442" s="1">
        <v>10</v>
      </c>
      <c r="I442" s="1">
        <f t="shared" si="14"/>
        <v>36.735000000000007</v>
      </c>
      <c r="J442">
        <f t="shared" si="13"/>
        <v>771.43500000000006</v>
      </c>
    </row>
    <row r="443" spans="1:10" x14ac:dyDescent="0.3">
      <c r="A443" s="1" t="s">
        <v>9</v>
      </c>
      <c r="B443" s="1" t="s">
        <v>465</v>
      </c>
      <c r="C443" s="1" t="s">
        <v>16</v>
      </c>
      <c r="D443" s="1" t="s">
        <v>17</v>
      </c>
      <c r="E443" s="1" t="s">
        <v>18</v>
      </c>
      <c r="F443" s="1" t="s">
        <v>29</v>
      </c>
      <c r="G443" s="1">
        <v>12.19</v>
      </c>
      <c r="H443" s="1">
        <v>8</v>
      </c>
      <c r="I443" s="1">
        <f t="shared" si="14"/>
        <v>4.8760000000000003</v>
      </c>
      <c r="J443">
        <f t="shared" si="13"/>
        <v>102.396</v>
      </c>
    </row>
    <row r="444" spans="1:10" x14ac:dyDescent="0.3">
      <c r="A444" s="1" t="s">
        <v>9</v>
      </c>
      <c r="B444" s="1" t="s">
        <v>466</v>
      </c>
      <c r="C444" s="1" t="s">
        <v>16</v>
      </c>
      <c r="D444" s="1" t="s">
        <v>17</v>
      </c>
      <c r="E444" s="1" t="s">
        <v>18</v>
      </c>
      <c r="F444" s="1" t="s">
        <v>14</v>
      </c>
      <c r="G444" s="1">
        <v>83.66</v>
      </c>
      <c r="H444" s="1">
        <v>5</v>
      </c>
      <c r="I444" s="1">
        <f t="shared" si="14"/>
        <v>20.914999999999999</v>
      </c>
      <c r="J444">
        <f t="shared" si="13"/>
        <v>439.21499999999997</v>
      </c>
    </row>
    <row r="445" spans="1:10" x14ac:dyDescent="0.3">
      <c r="A445" s="1" t="s">
        <v>9</v>
      </c>
      <c r="B445" s="1" t="s">
        <v>467</v>
      </c>
      <c r="C445" s="1" t="s">
        <v>25</v>
      </c>
      <c r="D445" s="1" t="s">
        <v>26</v>
      </c>
      <c r="E445" s="1" t="s">
        <v>18</v>
      </c>
      <c r="F445" s="1" t="s">
        <v>19</v>
      </c>
      <c r="G445" s="1">
        <v>57.91</v>
      </c>
      <c r="H445" s="1">
        <v>8</v>
      </c>
      <c r="I445" s="1">
        <f t="shared" si="14"/>
        <v>23.164000000000001</v>
      </c>
      <c r="J445">
        <f t="shared" si="13"/>
        <v>486.44399999999996</v>
      </c>
    </row>
    <row r="446" spans="1:10" x14ac:dyDescent="0.3">
      <c r="A446" s="1" t="s">
        <v>9</v>
      </c>
      <c r="B446" s="1" t="s">
        <v>468</v>
      </c>
      <c r="C446" s="1" t="s">
        <v>16</v>
      </c>
      <c r="D446" s="1" t="s">
        <v>17</v>
      </c>
      <c r="E446" s="1" t="s">
        <v>13</v>
      </c>
      <c r="F446" s="1" t="s">
        <v>29</v>
      </c>
      <c r="G446" s="1">
        <v>92.49</v>
      </c>
      <c r="H446" s="1">
        <v>5</v>
      </c>
      <c r="I446" s="1">
        <f t="shared" si="14"/>
        <v>23.122500000000002</v>
      </c>
      <c r="J446">
        <f t="shared" si="13"/>
        <v>485.57249999999999</v>
      </c>
    </row>
    <row r="447" spans="1:10" x14ac:dyDescent="0.3">
      <c r="A447" s="1" t="s">
        <v>9</v>
      </c>
      <c r="B447" s="1" t="s">
        <v>469</v>
      </c>
      <c r="C447" s="1" t="s">
        <v>16</v>
      </c>
      <c r="D447" s="1" t="s">
        <v>17</v>
      </c>
      <c r="E447" s="1" t="s">
        <v>13</v>
      </c>
      <c r="F447" s="1" t="s">
        <v>27</v>
      </c>
      <c r="G447" s="1">
        <v>47.27</v>
      </c>
      <c r="H447" s="1">
        <v>6</v>
      </c>
      <c r="I447" s="1">
        <f t="shared" si="14"/>
        <v>14.181000000000001</v>
      </c>
      <c r="J447">
        <f t="shared" si="13"/>
        <v>297.80099999999999</v>
      </c>
    </row>
    <row r="448" spans="1:10" x14ac:dyDescent="0.3">
      <c r="A448" s="1" t="s">
        <v>9</v>
      </c>
      <c r="B448" s="1" t="s">
        <v>470</v>
      </c>
      <c r="C448" s="1" t="s">
        <v>16</v>
      </c>
      <c r="D448" s="1" t="s">
        <v>17</v>
      </c>
      <c r="E448" s="1" t="s">
        <v>13</v>
      </c>
      <c r="F448" s="1" t="s">
        <v>19</v>
      </c>
      <c r="G448" s="1">
        <v>44.84</v>
      </c>
      <c r="H448" s="1">
        <v>9</v>
      </c>
      <c r="I448" s="1">
        <f t="shared" si="14"/>
        <v>20.178000000000004</v>
      </c>
      <c r="J448">
        <f t="shared" si="13"/>
        <v>423.73800000000006</v>
      </c>
    </row>
    <row r="449" spans="1:10" x14ac:dyDescent="0.3">
      <c r="A449" s="1" t="s">
        <v>9</v>
      </c>
      <c r="B449" s="1" t="s">
        <v>471</v>
      </c>
      <c r="C449" s="1" t="s">
        <v>11</v>
      </c>
      <c r="D449" s="1" t="s">
        <v>12</v>
      </c>
      <c r="E449" s="1" t="s">
        <v>13</v>
      </c>
      <c r="F449" s="1" t="s">
        <v>14</v>
      </c>
      <c r="G449" s="1">
        <v>27.73</v>
      </c>
      <c r="H449" s="1">
        <v>5</v>
      </c>
      <c r="I449" s="1">
        <f t="shared" si="14"/>
        <v>6.932500000000001</v>
      </c>
      <c r="J449">
        <f t="shared" si="13"/>
        <v>145.58250000000001</v>
      </c>
    </row>
    <row r="450" spans="1:10" x14ac:dyDescent="0.3">
      <c r="A450" s="1" t="s">
        <v>9</v>
      </c>
      <c r="B450" s="1" t="s">
        <v>472</v>
      </c>
      <c r="C450" s="1" t="s">
        <v>16</v>
      </c>
      <c r="D450" s="1" t="s">
        <v>17</v>
      </c>
      <c r="E450" s="1" t="s">
        <v>18</v>
      </c>
      <c r="F450" s="1" t="s">
        <v>14</v>
      </c>
      <c r="G450" s="1">
        <v>58.32</v>
      </c>
      <c r="H450" s="1">
        <v>2</v>
      </c>
      <c r="I450" s="1">
        <f t="shared" si="14"/>
        <v>5.8320000000000007</v>
      </c>
      <c r="J450">
        <f t="shared" si="13"/>
        <v>122.47200000000001</v>
      </c>
    </row>
    <row r="451" spans="1:10" x14ac:dyDescent="0.3">
      <c r="A451" s="1" t="s">
        <v>9</v>
      </c>
      <c r="B451" s="1" t="s">
        <v>473</v>
      </c>
      <c r="C451" s="1" t="s">
        <v>16</v>
      </c>
      <c r="D451" s="1" t="s">
        <v>17</v>
      </c>
      <c r="E451" s="1" t="s">
        <v>13</v>
      </c>
      <c r="F451" s="1" t="s">
        <v>22</v>
      </c>
      <c r="G451" s="1">
        <v>78.38</v>
      </c>
      <c r="H451" s="1">
        <v>4</v>
      </c>
      <c r="I451" s="1">
        <f t="shared" si="14"/>
        <v>15.676</v>
      </c>
      <c r="J451">
        <f t="shared" ref="J451:J514" si="15">(G451*H451)+I451</f>
        <v>329.19599999999997</v>
      </c>
    </row>
    <row r="452" spans="1:10" x14ac:dyDescent="0.3">
      <c r="A452" s="1" t="s">
        <v>9</v>
      </c>
      <c r="B452" s="1" t="s">
        <v>474</v>
      </c>
      <c r="C452" s="1" t="s">
        <v>25</v>
      </c>
      <c r="D452" s="1" t="s">
        <v>26</v>
      </c>
      <c r="E452" s="1" t="s">
        <v>18</v>
      </c>
      <c r="F452" s="1" t="s">
        <v>14</v>
      </c>
      <c r="G452" s="1">
        <v>82.88</v>
      </c>
      <c r="H452" s="1">
        <v>5</v>
      </c>
      <c r="I452" s="1">
        <f t="shared" si="14"/>
        <v>20.72</v>
      </c>
      <c r="J452">
        <f t="shared" si="15"/>
        <v>435.12</v>
      </c>
    </row>
    <row r="453" spans="1:10" x14ac:dyDescent="0.3">
      <c r="A453" s="1" t="s">
        <v>9</v>
      </c>
      <c r="B453" s="1" t="s">
        <v>475</v>
      </c>
      <c r="C453" s="1" t="s">
        <v>11</v>
      </c>
      <c r="D453" s="1" t="s">
        <v>12</v>
      </c>
      <c r="E453" s="1" t="s">
        <v>13</v>
      </c>
      <c r="F453" s="1" t="s">
        <v>27</v>
      </c>
      <c r="G453" s="1">
        <v>79.540000000000006</v>
      </c>
      <c r="H453" s="1">
        <v>2</v>
      </c>
      <c r="I453" s="1">
        <f t="shared" si="14"/>
        <v>7.9540000000000006</v>
      </c>
      <c r="J453">
        <f t="shared" si="15"/>
        <v>167.03400000000002</v>
      </c>
    </row>
    <row r="454" spans="1:10" x14ac:dyDescent="0.3">
      <c r="A454" s="1" t="s">
        <v>9</v>
      </c>
      <c r="B454" s="1" t="s">
        <v>476</v>
      </c>
      <c r="C454" s="1" t="s">
        <v>25</v>
      </c>
      <c r="D454" s="1" t="s">
        <v>26</v>
      </c>
      <c r="E454" s="1" t="s">
        <v>18</v>
      </c>
      <c r="F454" s="1" t="s">
        <v>22</v>
      </c>
      <c r="G454" s="1">
        <v>49.01</v>
      </c>
      <c r="H454" s="1">
        <v>10</v>
      </c>
      <c r="I454" s="1">
        <f t="shared" si="14"/>
        <v>24.504999999999999</v>
      </c>
      <c r="J454">
        <f t="shared" si="15"/>
        <v>514.60500000000002</v>
      </c>
    </row>
    <row r="455" spans="1:10" x14ac:dyDescent="0.3">
      <c r="A455" s="1" t="s">
        <v>9</v>
      </c>
      <c r="B455" s="1" t="s">
        <v>477</v>
      </c>
      <c r="C455" s="1" t="s">
        <v>25</v>
      </c>
      <c r="D455" s="1" t="s">
        <v>26</v>
      </c>
      <c r="E455" s="1" t="s">
        <v>13</v>
      </c>
      <c r="F455" s="1" t="s">
        <v>27</v>
      </c>
      <c r="G455" s="1">
        <v>29.15</v>
      </c>
      <c r="H455" s="1">
        <v>3</v>
      </c>
      <c r="I455" s="1">
        <f t="shared" si="14"/>
        <v>4.3724999999999996</v>
      </c>
      <c r="J455">
        <f t="shared" si="15"/>
        <v>91.822499999999991</v>
      </c>
    </row>
    <row r="456" spans="1:10" x14ac:dyDescent="0.3">
      <c r="A456" s="1" t="s">
        <v>9</v>
      </c>
      <c r="B456" s="1" t="s">
        <v>478</v>
      </c>
      <c r="C456" s="1" t="s">
        <v>16</v>
      </c>
      <c r="D456" s="1" t="s">
        <v>17</v>
      </c>
      <c r="E456" s="1" t="s">
        <v>18</v>
      </c>
      <c r="F456" s="1" t="s">
        <v>19</v>
      </c>
      <c r="G456" s="1">
        <v>56.13</v>
      </c>
      <c r="H456" s="1">
        <v>4</v>
      </c>
      <c r="I456" s="1">
        <f t="shared" si="14"/>
        <v>11.226000000000001</v>
      </c>
      <c r="J456">
        <f t="shared" si="15"/>
        <v>235.74600000000001</v>
      </c>
    </row>
    <row r="457" spans="1:10" x14ac:dyDescent="0.3">
      <c r="A457" s="1" t="s">
        <v>9</v>
      </c>
      <c r="B457" s="1" t="s">
        <v>479</v>
      </c>
      <c r="C457" s="1" t="s">
        <v>11</v>
      </c>
      <c r="D457" s="1" t="s">
        <v>12</v>
      </c>
      <c r="E457" s="1" t="s">
        <v>18</v>
      </c>
      <c r="F457" s="1" t="s">
        <v>22</v>
      </c>
      <c r="G457" s="1">
        <v>93.12</v>
      </c>
      <c r="H457" s="1">
        <v>8</v>
      </c>
      <c r="I457" s="1">
        <f t="shared" si="14"/>
        <v>37.248000000000005</v>
      </c>
      <c r="J457">
        <f t="shared" si="15"/>
        <v>782.20800000000008</v>
      </c>
    </row>
    <row r="458" spans="1:10" x14ac:dyDescent="0.3">
      <c r="A458" s="1" t="s">
        <v>9</v>
      </c>
      <c r="B458" s="1" t="s">
        <v>480</v>
      </c>
      <c r="C458" s="1" t="s">
        <v>11</v>
      </c>
      <c r="D458" s="1" t="s">
        <v>12</v>
      </c>
      <c r="E458" s="1" t="s">
        <v>13</v>
      </c>
      <c r="F458" s="1" t="s">
        <v>27</v>
      </c>
      <c r="G458" s="1">
        <v>99.6</v>
      </c>
      <c r="H458" s="1">
        <v>3</v>
      </c>
      <c r="I458" s="1">
        <f t="shared" si="14"/>
        <v>14.939999999999998</v>
      </c>
      <c r="J458">
        <f t="shared" si="15"/>
        <v>313.73999999999995</v>
      </c>
    </row>
    <row r="459" spans="1:10" x14ac:dyDescent="0.3">
      <c r="A459" s="1" t="s">
        <v>9</v>
      </c>
      <c r="B459" s="1" t="s">
        <v>481</v>
      </c>
      <c r="C459" s="1" t="s">
        <v>16</v>
      </c>
      <c r="D459" s="1" t="s">
        <v>17</v>
      </c>
      <c r="E459" s="1" t="s">
        <v>18</v>
      </c>
      <c r="F459" s="1" t="s">
        <v>19</v>
      </c>
      <c r="G459" s="1">
        <v>35.49</v>
      </c>
      <c r="H459" s="1">
        <v>6</v>
      </c>
      <c r="I459" s="1">
        <f t="shared" si="14"/>
        <v>10.647</v>
      </c>
      <c r="J459">
        <f t="shared" si="15"/>
        <v>223.58699999999999</v>
      </c>
    </row>
    <row r="460" spans="1:10" x14ac:dyDescent="0.3">
      <c r="A460" s="1" t="s">
        <v>9</v>
      </c>
      <c r="B460" s="1" t="s">
        <v>482</v>
      </c>
      <c r="C460" s="1" t="s">
        <v>11</v>
      </c>
      <c r="D460" s="1" t="s">
        <v>12</v>
      </c>
      <c r="E460" s="1" t="s">
        <v>18</v>
      </c>
      <c r="F460" s="1" t="s">
        <v>29</v>
      </c>
      <c r="G460" s="1">
        <v>94.67</v>
      </c>
      <c r="H460" s="1">
        <v>4</v>
      </c>
      <c r="I460" s="1">
        <f t="shared" si="14"/>
        <v>18.934000000000001</v>
      </c>
      <c r="J460">
        <f t="shared" si="15"/>
        <v>397.61400000000003</v>
      </c>
    </row>
    <row r="461" spans="1:10" x14ac:dyDescent="0.3">
      <c r="A461" s="1" t="s">
        <v>9</v>
      </c>
      <c r="B461" s="1" t="s">
        <v>483</v>
      </c>
      <c r="C461" s="1" t="s">
        <v>25</v>
      </c>
      <c r="D461" s="1" t="s">
        <v>26</v>
      </c>
      <c r="E461" s="1" t="s">
        <v>13</v>
      </c>
      <c r="F461" s="1" t="s">
        <v>19</v>
      </c>
      <c r="G461" s="1">
        <v>26.26</v>
      </c>
      <c r="H461" s="1">
        <v>3</v>
      </c>
      <c r="I461" s="1">
        <f t="shared" si="14"/>
        <v>3.9390000000000001</v>
      </c>
      <c r="J461">
        <f t="shared" si="15"/>
        <v>82.718999999999994</v>
      </c>
    </row>
    <row r="462" spans="1:10" x14ac:dyDescent="0.3">
      <c r="A462" s="1" t="s">
        <v>9</v>
      </c>
      <c r="B462" s="1" t="s">
        <v>484</v>
      </c>
      <c r="C462" s="1" t="s">
        <v>16</v>
      </c>
      <c r="D462" s="1" t="s">
        <v>17</v>
      </c>
      <c r="E462" s="1" t="s">
        <v>13</v>
      </c>
      <c r="F462" s="1" t="s">
        <v>22</v>
      </c>
      <c r="G462" s="1">
        <v>35.79</v>
      </c>
      <c r="H462" s="1">
        <v>9</v>
      </c>
      <c r="I462" s="1">
        <f t="shared" si="14"/>
        <v>16.105500000000003</v>
      </c>
      <c r="J462">
        <f t="shared" si="15"/>
        <v>338.21550000000002</v>
      </c>
    </row>
    <row r="463" spans="1:10" x14ac:dyDescent="0.3">
      <c r="A463" s="1" t="s">
        <v>9</v>
      </c>
      <c r="B463" s="1" t="s">
        <v>485</v>
      </c>
      <c r="C463" s="1" t="s">
        <v>25</v>
      </c>
      <c r="D463" s="1" t="s">
        <v>26</v>
      </c>
      <c r="E463" s="1" t="s">
        <v>18</v>
      </c>
      <c r="F463" s="1" t="s">
        <v>22</v>
      </c>
      <c r="G463" s="1">
        <v>16.37</v>
      </c>
      <c r="H463" s="1">
        <v>6</v>
      </c>
      <c r="I463" s="1">
        <f t="shared" si="14"/>
        <v>4.9110000000000005</v>
      </c>
      <c r="J463">
        <f t="shared" si="15"/>
        <v>103.131</v>
      </c>
    </row>
    <row r="464" spans="1:10" x14ac:dyDescent="0.3">
      <c r="A464" s="1" t="s">
        <v>9</v>
      </c>
      <c r="B464" s="1" t="s">
        <v>486</v>
      </c>
      <c r="C464" s="1" t="s">
        <v>16</v>
      </c>
      <c r="D464" s="1" t="s">
        <v>17</v>
      </c>
      <c r="E464" s="1" t="s">
        <v>13</v>
      </c>
      <c r="F464" s="1" t="s">
        <v>22</v>
      </c>
      <c r="G464" s="1">
        <v>12.73</v>
      </c>
      <c r="H464" s="1">
        <v>2</v>
      </c>
      <c r="I464" s="1">
        <f t="shared" si="14"/>
        <v>1.2730000000000001</v>
      </c>
      <c r="J464">
        <f t="shared" si="15"/>
        <v>26.733000000000001</v>
      </c>
    </row>
    <row r="465" spans="1:10" x14ac:dyDescent="0.3">
      <c r="A465" s="1" t="s">
        <v>9</v>
      </c>
      <c r="B465" s="1" t="s">
        <v>487</v>
      </c>
      <c r="C465" s="1" t="s">
        <v>16</v>
      </c>
      <c r="D465" s="1" t="s">
        <v>17</v>
      </c>
      <c r="E465" s="1" t="s">
        <v>18</v>
      </c>
      <c r="F465" s="1" t="s">
        <v>33</v>
      </c>
      <c r="G465" s="1">
        <v>83.14</v>
      </c>
      <c r="H465" s="1">
        <v>7</v>
      </c>
      <c r="I465" s="1">
        <f t="shared" si="14"/>
        <v>29.099000000000004</v>
      </c>
      <c r="J465">
        <f t="shared" si="15"/>
        <v>611.07900000000006</v>
      </c>
    </row>
    <row r="466" spans="1:10" x14ac:dyDescent="0.3">
      <c r="A466" s="1" t="s">
        <v>9</v>
      </c>
      <c r="B466" s="1" t="s">
        <v>488</v>
      </c>
      <c r="C466" s="1" t="s">
        <v>16</v>
      </c>
      <c r="D466" s="1" t="s">
        <v>17</v>
      </c>
      <c r="E466" s="1" t="s">
        <v>13</v>
      </c>
      <c r="F466" s="1" t="s">
        <v>33</v>
      </c>
      <c r="G466" s="1">
        <v>35.22</v>
      </c>
      <c r="H466" s="1">
        <v>6</v>
      </c>
      <c r="I466" s="1">
        <f t="shared" si="14"/>
        <v>10.566000000000001</v>
      </c>
      <c r="J466">
        <f t="shared" si="15"/>
        <v>221.886</v>
      </c>
    </row>
    <row r="467" spans="1:10" x14ac:dyDescent="0.3">
      <c r="A467" s="1" t="s">
        <v>9</v>
      </c>
      <c r="B467" s="1" t="s">
        <v>489</v>
      </c>
      <c r="C467" s="1" t="s">
        <v>25</v>
      </c>
      <c r="D467" s="1" t="s">
        <v>26</v>
      </c>
      <c r="E467" s="1" t="s">
        <v>18</v>
      </c>
      <c r="F467" s="1" t="s">
        <v>19</v>
      </c>
      <c r="G467" s="1">
        <v>13.78</v>
      </c>
      <c r="H467" s="1">
        <v>4</v>
      </c>
      <c r="I467" s="1">
        <f t="shared" si="14"/>
        <v>2.7560000000000002</v>
      </c>
      <c r="J467">
        <f t="shared" si="15"/>
        <v>57.875999999999998</v>
      </c>
    </row>
    <row r="468" spans="1:10" x14ac:dyDescent="0.3">
      <c r="A468" s="1" t="s">
        <v>9</v>
      </c>
      <c r="B468" s="1" t="s">
        <v>490</v>
      </c>
      <c r="C468" s="1" t="s">
        <v>11</v>
      </c>
      <c r="D468" s="1" t="s">
        <v>12</v>
      </c>
      <c r="E468" s="1" t="s">
        <v>13</v>
      </c>
      <c r="F468" s="1" t="s">
        <v>14</v>
      </c>
      <c r="G468" s="1">
        <v>39.619999999999997</v>
      </c>
      <c r="H468" s="1">
        <v>9</v>
      </c>
      <c r="I468" s="1">
        <f t="shared" si="14"/>
        <v>17.829000000000001</v>
      </c>
      <c r="J468">
        <f t="shared" si="15"/>
        <v>374.40899999999999</v>
      </c>
    </row>
    <row r="469" spans="1:10" x14ac:dyDescent="0.3">
      <c r="A469" s="1" t="s">
        <v>9</v>
      </c>
      <c r="B469" s="1" t="s">
        <v>491</v>
      </c>
      <c r="C469" s="1" t="s">
        <v>25</v>
      </c>
      <c r="D469" s="1" t="s">
        <v>26</v>
      </c>
      <c r="E469" s="1" t="s">
        <v>18</v>
      </c>
      <c r="F469" s="1" t="s">
        <v>19</v>
      </c>
      <c r="G469" s="1">
        <v>88.25</v>
      </c>
      <c r="H469" s="1">
        <v>9</v>
      </c>
      <c r="I469" s="1">
        <f t="shared" si="14"/>
        <v>39.712500000000006</v>
      </c>
      <c r="J469">
        <f t="shared" si="15"/>
        <v>833.96249999999998</v>
      </c>
    </row>
    <row r="470" spans="1:10" x14ac:dyDescent="0.3">
      <c r="A470" s="1" t="s">
        <v>9</v>
      </c>
      <c r="B470" s="1" t="s">
        <v>492</v>
      </c>
      <c r="C470" s="1" t="s">
        <v>16</v>
      </c>
      <c r="D470" s="1" t="s">
        <v>17</v>
      </c>
      <c r="E470" s="1" t="s">
        <v>13</v>
      </c>
      <c r="F470" s="1" t="s">
        <v>29</v>
      </c>
      <c r="G470" s="1">
        <v>83.35</v>
      </c>
      <c r="H470" s="1">
        <v>2</v>
      </c>
      <c r="I470" s="1">
        <f t="shared" si="14"/>
        <v>8.3349999999999991</v>
      </c>
      <c r="J470">
        <f t="shared" si="15"/>
        <v>175.035</v>
      </c>
    </row>
    <row r="471" spans="1:10" x14ac:dyDescent="0.3">
      <c r="A471" s="1" t="s">
        <v>9</v>
      </c>
      <c r="B471" s="1" t="s">
        <v>493</v>
      </c>
      <c r="C471" s="1" t="s">
        <v>11</v>
      </c>
      <c r="D471" s="1" t="s">
        <v>12</v>
      </c>
      <c r="E471" s="1" t="s">
        <v>18</v>
      </c>
      <c r="F471" s="1" t="s">
        <v>27</v>
      </c>
      <c r="G471" s="1">
        <v>74.44</v>
      </c>
      <c r="H471" s="1">
        <v>10</v>
      </c>
      <c r="I471" s="1">
        <f t="shared" si="14"/>
        <v>37.22</v>
      </c>
      <c r="J471">
        <f t="shared" si="15"/>
        <v>781.62</v>
      </c>
    </row>
    <row r="472" spans="1:10" x14ac:dyDescent="0.3">
      <c r="A472" s="1" t="s">
        <v>9</v>
      </c>
      <c r="B472" s="1" t="s">
        <v>494</v>
      </c>
      <c r="C472" s="1" t="s">
        <v>25</v>
      </c>
      <c r="D472" s="1" t="s">
        <v>26</v>
      </c>
      <c r="E472" s="1" t="s">
        <v>18</v>
      </c>
      <c r="F472" s="1" t="s">
        <v>22</v>
      </c>
      <c r="G472" s="1">
        <v>63.15</v>
      </c>
      <c r="H472" s="1">
        <v>6</v>
      </c>
      <c r="I472" s="1">
        <f t="shared" si="14"/>
        <v>18.945</v>
      </c>
      <c r="J472">
        <f t="shared" si="15"/>
        <v>397.84499999999997</v>
      </c>
    </row>
    <row r="473" spans="1:10" x14ac:dyDescent="0.3">
      <c r="A473" s="1" t="s">
        <v>9</v>
      </c>
      <c r="B473" s="1" t="s">
        <v>495</v>
      </c>
      <c r="C473" s="1" t="s">
        <v>16</v>
      </c>
      <c r="D473" s="1" t="s">
        <v>17</v>
      </c>
      <c r="E473" s="1" t="s">
        <v>18</v>
      </c>
      <c r="F473" s="1" t="s">
        <v>14</v>
      </c>
      <c r="G473" s="1">
        <v>78.89</v>
      </c>
      <c r="H473" s="1">
        <v>7</v>
      </c>
      <c r="I473" s="1">
        <f t="shared" ref="I473:I536" si="16">(G473*H473)*5%</f>
        <v>27.611500000000003</v>
      </c>
      <c r="J473">
        <f t="shared" si="15"/>
        <v>579.8415</v>
      </c>
    </row>
    <row r="474" spans="1:10" x14ac:dyDescent="0.3">
      <c r="A474" s="1" t="s">
        <v>9</v>
      </c>
      <c r="B474" s="1" t="s">
        <v>496</v>
      </c>
      <c r="C474" s="1" t="s">
        <v>11</v>
      </c>
      <c r="D474" s="1" t="s">
        <v>12</v>
      </c>
      <c r="E474" s="1" t="s">
        <v>18</v>
      </c>
      <c r="F474" s="1" t="s">
        <v>33</v>
      </c>
      <c r="G474" s="1">
        <v>89.48</v>
      </c>
      <c r="H474" s="1">
        <v>5</v>
      </c>
      <c r="I474" s="1">
        <f t="shared" si="16"/>
        <v>22.370000000000005</v>
      </c>
      <c r="J474">
        <f t="shared" si="15"/>
        <v>469.77000000000004</v>
      </c>
    </row>
    <row r="475" spans="1:10" x14ac:dyDescent="0.3">
      <c r="A475" s="1" t="s">
        <v>9</v>
      </c>
      <c r="B475" s="1" t="s">
        <v>497</v>
      </c>
      <c r="C475" s="1" t="s">
        <v>11</v>
      </c>
      <c r="D475" s="1" t="s">
        <v>12</v>
      </c>
      <c r="E475" s="1" t="s">
        <v>13</v>
      </c>
      <c r="F475" s="1" t="s">
        <v>14</v>
      </c>
      <c r="G475" s="1">
        <v>92.09</v>
      </c>
      <c r="H475" s="1">
        <v>3</v>
      </c>
      <c r="I475" s="1">
        <f t="shared" si="16"/>
        <v>13.813499999999999</v>
      </c>
      <c r="J475">
        <f t="shared" si="15"/>
        <v>290.08349999999996</v>
      </c>
    </row>
    <row r="476" spans="1:10" x14ac:dyDescent="0.3">
      <c r="A476" s="1" t="s">
        <v>9</v>
      </c>
      <c r="B476" s="1" t="s">
        <v>498</v>
      </c>
      <c r="C476" s="1" t="s">
        <v>16</v>
      </c>
      <c r="D476" s="1" t="s">
        <v>17</v>
      </c>
      <c r="E476" s="1" t="s">
        <v>18</v>
      </c>
      <c r="F476" s="1" t="s">
        <v>27</v>
      </c>
      <c r="G476" s="1">
        <v>57.29</v>
      </c>
      <c r="H476" s="1">
        <v>6</v>
      </c>
      <c r="I476" s="1">
        <f t="shared" si="16"/>
        <v>17.187000000000001</v>
      </c>
      <c r="J476">
        <f t="shared" si="15"/>
        <v>360.92700000000002</v>
      </c>
    </row>
    <row r="477" spans="1:10" x14ac:dyDescent="0.3">
      <c r="A477" s="1" t="s">
        <v>9</v>
      </c>
      <c r="B477" s="1" t="s">
        <v>499</v>
      </c>
      <c r="C477" s="1" t="s">
        <v>11</v>
      </c>
      <c r="D477" s="1" t="s">
        <v>12</v>
      </c>
      <c r="E477" s="1" t="s">
        <v>18</v>
      </c>
      <c r="F477" s="1" t="s">
        <v>22</v>
      </c>
      <c r="G477" s="1">
        <v>45.68</v>
      </c>
      <c r="H477" s="1">
        <v>10</v>
      </c>
      <c r="I477" s="1">
        <f t="shared" si="16"/>
        <v>22.840000000000003</v>
      </c>
      <c r="J477">
        <f t="shared" si="15"/>
        <v>479.64</v>
      </c>
    </row>
    <row r="478" spans="1:10" x14ac:dyDescent="0.3">
      <c r="A478" s="1" t="s">
        <v>9</v>
      </c>
      <c r="B478" s="1" t="s">
        <v>500</v>
      </c>
      <c r="C478" s="1" t="s">
        <v>11</v>
      </c>
      <c r="D478" s="1" t="s">
        <v>12</v>
      </c>
      <c r="E478" s="1" t="s">
        <v>18</v>
      </c>
      <c r="F478" s="1" t="s">
        <v>19</v>
      </c>
      <c r="G478" s="1">
        <v>93.88</v>
      </c>
      <c r="H478" s="1">
        <v>7</v>
      </c>
      <c r="I478" s="1">
        <f t="shared" si="16"/>
        <v>32.857999999999997</v>
      </c>
      <c r="J478">
        <f t="shared" si="15"/>
        <v>690.01799999999992</v>
      </c>
    </row>
    <row r="479" spans="1:10" x14ac:dyDescent="0.3">
      <c r="A479" s="1" t="s">
        <v>9</v>
      </c>
      <c r="B479" s="1" t="s">
        <v>501</v>
      </c>
      <c r="C479" s="1" t="s">
        <v>25</v>
      </c>
      <c r="D479" s="1" t="s">
        <v>26</v>
      </c>
      <c r="E479" s="1" t="s">
        <v>18</v>
      </c>
      <c r="F479" s="1" t="s">
        <v>27</v>
      </c>
      <c r="G479" s="1">
        <v>26.43</v>
      </c>
      <c r="H479" s="1">
        <v>8</v>
      </c>
      <c r="I479" s="1">
        <f t="shared" si="16"/>
        <v>10.572000000000001</v>
      </c>
      <c r="J479">
        <f t="shared" si="15"/>
        <v>222.012</v>
      </c>
    </row>
    <row r="480" spans="1:10" x14ac:dyDescent="0.3">
      <c r="A480" s="1" t="s">
        <v>9</v>
      </c>
      <c r="B480" s="1" t="s">
        <v>502</v>
      </c>
      <c r="C480" s="1" t="s">
        <v>25</v>
      </c>
      <c r="D480" s="1" t="s">
        <v>26</v>
      </c>
      <c r="E480" s="1" t="s">
        <v>13</v>
      </c>
      <c r="F480" s="1" t="s">
        <v>22</v>
      </c>
      <c r="G480" s="1">
        <v>21.9</v>
      </c>
      <c r="H480" s="1">
        <v>3</v>
      </c>
      <c r="I480" s="1">
        <f t="shared" si="16"/>
        <v>3.2849999999999997</v>
      </c>
      <c r="J480">
        <f t="shared" si="15"/>
        <v>68.984999999999985</v>
      </c>
    </row>
    <row r="481" spans="1:10" x14ac:dyDescent="0.3">
      <c r="A481" s="1" t="s">
        <v>9</v>
      </c>
      <c r="B481" s="1" t="s">
        <v>503</v>
      </c>
      <c r="C481" s="1" t="s">
        <v>25</v>
      </c>
      <c r="D481" s="1" t="s">
        <v>26</v>
      </c>
      <c r="E481" s="1" t="s">
        <v>13</v>
      </c>
      <c r="F481" s="1" t="s">
        <v>27</v>
      </c>
      <c r="G481" s="1">
        <v>62.85</v>
      </c>
      <c r="H481" s="1">
        <v>4</v>
      </c>
      <c r="I481" s="1">
        <f t="shared" si="16"/>
        <v>12.57</v>
      </c>
      <c r="J481">
        <f t="shared" si="15"/>
        <v>263.97000000000003</v>
      </c>
    </row>
    <row r="482" spans="1:10" x14ac:dyDescent="0.3">
      <c r="A482" s="1" t="s">
        <v>9</v>
      </c>
      <c r="B482" s="1" t="s">
        <v>504</v>
      </c>
      <c r="C482" s="1" t="s">
        <v>16</v>
      </c>
      <c r="D482" s="1" t="s">
        <v>17</v>
      </c>
      <c r="E482" s="1" t="s">
        <v>13</v>
      </c>
      <c r="F482" s="1" t="s">
        <v>27</v>
      </c>
      <c r="G482" s="1">
        <v>21.04</v>
      </c>
      <c r="H482" s="1">
        <v>4</v>
      </c>
      <c r="I482" s="1">
        <f t="shared" si="16"/>
        <v>4.2080000000000002</v>
      </c>
      <c r="J482">
        <f t="shared" si="15"/>
        <v>88.367999999999995</v>
      </c>
    </row>
    <row r="483" spans="1:10" x14ac:dyDescent="0.3">
      <c r="A483" s="1" t="s">
        <v>9</v>
      </c>
      <c r="B483" s="1" t="s">
        <v>505</v>
      </c>
      <c r="C483" s="1" t="s">
        <v>11</v>
      </c>
      <c r="D483" s="1" t="s">
        <v>12</v>
      </c>
      <c r="E483" s="1" t="s">
        <v>18</v>
      </c>
      <c r="F483" s="1" t="s">
        <v>29</v>
      </c>
      <c r="G483" s="1">
        <v>42.57</v>
      </c>
      <c r="H483" s="1">
        <v>7</v>
      </c>
      <c r="I483" s="1">
        <f t="shared" si="16"/>
        <v>14.899500000000002</v>
      </c>
      <c r="J483">
        <f t="shared" si="15"/>
        <v>312.8895</v>
      </c>
    </row>
    <row r="484" spans="1:10" x14ac:dyDescent="0.3">
      <c r="A484" s="1" t="s">
        <v>9</v>
      </c>
      <c r="B484" s="1" t="s">
        <v>506</v>
      </c>
      <c r="C484" s="1" t="s">
        <v>16</v>
      </c>
      <c r="D484" s="1" t="s">
        <v>17</v>
      </c>
      <c r="E484" s="1" t="s">
        <v>18</v>
      </c>
      <c r="F484" s="1" t="s">
        <v>22</v>
      </c>
      <c r="G484" s="1">
        <v>15.8</v>
      </c>
      <c r="H484" s="1">
        <v>10</v>
      </c>
      <c r="I484" s="1">
        <f t="shared" si="16"/>
        <v>7.9</v>
      </c>
      <c r="J484">
        <f t="shared" si="15"/>
        <v>165.9</v>
      </c>
    </row>
    <row r="485" spans="1:10" x14ac:dyDescent="0.3">
      <c r="A485" s="1" t="s">
        <v>9</v>
      </c>
      <c r="B485" s="1" t="s">
        <v>507</v>
      </c>
      <c r="C485" s="1" t="s">
        <v>11</v>
      </c>
      <c r="D485" s="1" t="s">
        <v>12</v>
      </c>
      <c r="E485" s="1" t="s">
        <v>13</v>
      </c>
      <c r="F485" s="1" t="s">
        <v>27</v>
      </c>
      <c r="G485" s="1">
        <v>98.66</v>
      </c>
      <c r="H485" s="1">
        <v>9</v>
      </c>
      <c r="I485" s="1">
        <f t="shared" si="16"/>
        <v>44.396999999999998</v>
      </c>
      <c r="J485">
        <f t="shared" si="15"/>
        <v>932.33699999999999</v>
      </c>
    </row>
    <row r="486" spans="1:10" x14ac:dyDescent="0.3">
      <c r="A486" s="1" t="s">
        <v>9</v>
      </c>
      <c r="B486" s="1" t="s">
        <v>508</v>
      </c>
      <c r="C486" s="1" t="s">
        <v>11</v>
      </c>
      <c r="D486" s="1" t="s">
        <v>12</v>
      </c>
      <c r="E486" s="1" t="s">
        <v>18</v>
      </c>
      <c r="F486" s="1" t="s">
        <v>29</v>
      </c>
      <c r="G486" s="1">
        <v>15.5</v>
      </c>
      <c r="H486" s="1">
        <v>1</v>
      </c>
      <c r="I486" s="1">
        <f t="shared" si="16"/>
        <v>0.77500000000000002</v>
      </c>
      <c r="J486">
        <f t="shared" si="15"/>
        <v>16.274999999999999</v>
      </c>
    </row>
    <row r="487" spans="1:10" x14ac:dyDescent="0.3">
      <c r="A487" s="1" t="s">
        <v>9</v>
      </c>
      <c r="B487" s="1" t="s">
        <v>509</v>
      </c>
      <c r="C487" s="1" t="s">
        <v>25</v>
      </c>
      <c r="D487" s="1" t="s">
        <v>26</v>
      </c>
      <c r="E487" s="1" t="s">
        <v>18</v>
      </c>
      <c r="F487" s="1" t="s">
        <v>19</v>
      </c>
      <c r="G487" s="1">
        <v>38.270000000000003</v>
      </c>
      <c r="H487" s="1">
        <v>2</v>
      </c>
      <c r="I487" s="1">
        <f t="shared" si="16"/>
        <v>3.8270000000000004</v>
      </c>
      <c r="J487">
        <f t="shared" si="15"/>
        <v>80.367000000000004</v>
      </c>
    </row>
    <row r="488" spans="1:10" x14ac:dyDescent="0.3">
      <c r="A488" s="1" t="s">
        <v>9</v>
      </c>
      <c r="B488" s="1" t="s">
        <v>510</v>
      </c>
      <c r="C488" s="1" t="s">
        <v>11</v>
      </c>
      <c r="D488" s="1" t="s">
        <v>12</v>
      </c>
      <c r="E488" s="1" t="s">
        <v>18</v>
      </c>
      <c r="F488" s="1" t="s">
        <v>22</v>
      </c>
      <c r="G488" s="1">
        <v>33.299999999999997</v>
      </c>
      <c r="H488" s="1">
        <v>9</v>
      </c>
      <c r="I488" s="1">
        <f t="shared" si="16"/>
        <v>14.984999999999999</v>
      </c>
      <c r="J488">
        <f t="shared" si="15"/>
        <v>314.685</v>
      </c>
    </row>
    <row r="489" spans="1:10" x14ac:dyDescent="0.3">
      <c r="A489" s="1" t="s">
        <v>9</v>
      </c>
      <c r="B489" s="1" t="s">
        <v>511</v>
      </c>
      <c r="C489" s="1" t="s">
        <v>11</v>
      </c>
      <c r="D489" s="1" t="s">
        <v>12</v>
      </c>
      <c r="E489" s="1" t="s">
        <v>18</v>
      </c>
      <c r="F489" s="1" t="s">
        <v>14</v>
      </c>
      <c r="G489" s="1">
        <v>15.8</v>
      </c>
      <c r="H489" s="1">
        <v>3</v>
      </c>
      <c r="I489" s="1">
        <f t="shared" si="16"/>
        <v>2.3700000000000006</v>
      </c>
      <c r="J489">
        <f t="shared" si="15"/>
        <v>49.77</v>
      </c>
    </row>
    <row r="490" spans="1:10" x14ac:dyDescent="0.3">
      <c r="A490" s="1" t="s">
        <v>9</v>
      </c>
      <c r="B490" s="1" t="s">
        <v>512</v>
      </c>
      <c r="C490" s="1" t="s">
        <v>25</v>
      </c>
      <c r="D490" s="1" t="s">
        <v>26</v>
      </c>
      <c r="E490" s="1" t="s">
        <v>13</v>
      </c>
      <c r="F490" s="1" t="s">
        <v>19</v>
      </c>
      <c r="G490" s="1">
        <v>34.49</v>
      </c>
      <c r="H490" s="1">
        <v>5</v>
      </c>
      <c r="I490" s="1">
        <f t="shared" si="16"/>
        <v>8.6225000000000005</v>
      </c>
      <c r="J490">
        <f t="shared" si="15"/>
        <v>181.07250000000002</v>
      </c>
    </row>
    <row r="491" spans="1:10" x14ac:dyDescent="0.3">
      <c r="A491" s="1" t="s">
        <v>9</v>
      </c>
      <c r="B491" s="1" t="s">
        <v>513</v>
      </c>
      <c r="C491" s="1" t="s">
        <v>25</v>
      </c>
      <c r="D491" s="1" t="s">
        <v>26</v>
      </c>
      <c r="E491" s="1" t="s">
        <v>13</v>
      </c>
      <c r="F491" s="1" t="s">
        <v>27</v>
      </c>
      <c r="G491" s="1">
        <v>84.63</v>
      </c>
      <c r="H491" s="1">
        <v>10</v>
      </c>
      <c r="I491" s="1">
        <f t="shared" si="16"/>
        <v>42.314999999999998</v>
      </c>
      <c r="J491">
        <f t="shared" si="15"/>
        <v>888.61500000000001</v>
      </c>
    </row>
    <row r="492" spans="1:10" x14ac:dyDescent="0.3">
      <c r="A492" s="1" t="s">
        <v>9</v>
      </c>
      <c r="B492" s="1" t="s">
        <v>514</v>
      </c>
      <c r="C492" s="1" t="s">
        <v>11</v>
      </c>
      <c r="D492" s="1" t="s">
        <v>12</v>
      </c>
      <c r="E492" s="1" t="s">
        <v>18</v>
      </c>
      <c r="F492" s="1" t="s">
        <v>27</v>
      </c>
      <c r="G492" s="1">
        <v>74.66</v>
      </c>
      <c r="H492" s="1">
        <v>4</v>
      </c>
      <c r="I492" s="1">
        <f t="shared" si="16"/>
        <v>14.932</v>
      </c>
      <c r="J492">
        <f t="shared" si="15"/>
        <v>313.572</v>
      </c>
    </row>
    <row r="493" spans="1:10" x14ac:dyDescent="0.3">
      <c r="A493" s="1" t="s">
        <v>9</v>
      </c>
      <c r="B493" s="1" t="s">
        <v>515</v>
      </c>
      <c r="C493" s="1" t="s">
        <v>25</v>
      </c>
      <c r="D493" s="1" t="s">
        <v>26</v>
      </c>
      <c r="E493" s="1" t="s">
        <v>18</v>
      </c>
      <c r="F493" s="1" t="s">
        <v>19</v>
      </c>
      <c r="G493" s="1">
        <v>25.45</v>
      </c>
      <c r="H493" s="1">
        <v>1</v>
      </c>
      <c r="I493" s="1">
        <f t="shared" si="16"/>
        <v>1.2725</v>
      </c>
      <c r="J493">
        <f t="shared" si="15"/>
        <v>26.7225</v>
      </c>
    </row>
    <row r="494" spans="1:10" x14ac:dyDescent="0.3">
      <c r="A494" s="1" t="s">
        <v>9</v>
      </c>
      <c r="B494" s="1" t="s">
        <v>516</v>
      </c>
      <c r="C494" s="1" t="s">
        <v>25</v>
      </c>
      <c r="D494" s="1" t="s">
        <v>26</v>
      </c>
      <c r="E494" s="1" t="s">
        <v>18</v>
      </c>
      <c r="F494" s="1" t="s">
        <v>27</v>
      </c>
      <c r="G494" s="1">
        <v>67.77</v>
      </c>
      <c r="H494" s="1">
        <v>1</v>
      </c>
      <c r="I494" s="1">
        <f t="shared" si="16"/>
        <v>3.3885000000000001</v>
      </c>
      <c r="J494">
        <f t="shared" si="15"/>
        <v>71.158499999999989</v>
      </c>
    </row>
    <row r="495" spans="1:10" x14ac:dyDescent="0.3">
      <c r="A495" s="1" t="s">
        <v>9</v>
      </c>
      <c r="B495" s="1" t="s">
        <v>517</v>
      </c>
      <c r="C495" s="1" t="s">
        <v>11</v>
      </c>
      <c r="D495" s="1" t="s">
        <v>12</v>
      </c>
      <c r="E495" s="1" t="s">
        <v>13</v>
      </c>
      <c r="F495" s="1" t="s">
        <v>33</v>
      </c>
      <c r="G495" s="1">
        <v>97.48</v>
      </c>
      <c r="H495" s="1">
        <v>9</v>
      </c>
      <c r="I495" s="1">
        <f t="shared" si="16"/>
        <v>43.866000000000007</v>
      </c>
      <c r="J495">
        <f t="shared" si="15"/>
        <v>921.18600000000004</v>
      </c>
    </row>
    <row r="496" spans="1:10" x14ac:dyDescent="0.3">
      <c r="A496" s="1" t="s">
        <v>9</v>
      </c>
      <c r="B496" s="1" t="s">
        <v>518</v>
      </c>
      <c r="C496" s="1" t="s">
        <v>25</v>
      </c>
      <c r="D496" s="1" t="s">
        <v>26</v>
      </c>
      <c r="E496" s="1" t="s">
        <v>18</v>
      </c>
      <c r="F496" s="1" t="s">
        <v>29</v>
      </c>
      <c r="G496" s="1">
        <v>63.71</v>
      </c>
      <c r="H496" s="1">
        <v>5</v>
      </c>
      <c r="I496" s="1">
        <f t="shared" si="16"/>
        <v>15.927500000000002</v>
      </c>
      <c r="J496">
        <f t="shared" si="15"/>
        <v>334.47750000000002</v>
      </c>
    </row>
    <row r="497" spans="1:10" x14ac:dyDescent="0.3">
      <c r="A497" s="1" t="s">
        <v>9</v>
      </c>
      <c r="B497" s="1" t="s">
        <v>519</v>
      </c>
      <c r="C497" s="1" t="s">
        <v>25</v>
      </c>
      <c r="D497" s="1" t="s">
        <v>26</v>
      </c>
      <c r="E497" s="1" t="s">
        <v>18</v>
      </c>
      <c r="F497" s="1" t="s">
        <v>14</v>
      </c>
      <c r="G497" s="1">
        <v>14.76</v>
      </c>
      <c r="H497" s="1">
        <v>2</v>
      </c>
      <c r="I497" s="1">
        <f t="shared" si="16"/>
        <v>1.476</v>
      </c>
      <c r="J497">
        <f t="shared" si="15"/>
        <v>30.995999999999999</v>
      </c>
    </row>
    <row r="498" spans="1:10" x14ac:dyDescent="0.3">
      <c r="A498" s="1" t="s">
        <v>9</v>
      </c>
      <c r="B498" s="1" t="s">
        <v>520</v>
      </c>
      <c r="C498" s="1" t="s">
        <v>11</v>
      </c>
      <c r="D498" s="1" t="s">
        <v>12</v>
      </c>
      <c r="E498" s="1" t="s">
        <v>18</v>
      </c>
      <c r="F498" s="1" t="s">
        <v>27</v>
      </c>
      <c r="G498" s="1">
        <v>56.56</v>
      </c>
      <c r="H498" s="1">
        <v>5</v>
      </c>
      <c r="I498" s="1">
        <f t="shared" si="16"/>
        <v>14.14</v>
      </c>
      <c r="J498">
        <f t="shared" si="15"/>
        <v>296.94</v>
      </c>
    </row>
    <row r="499" spans="1:10" x14ac:dyDescent="0.3">
      <c r="A499" s="1" t="s">
        <v>9</v>
      </c>
      <c r="B499" s="1" t="s">
        <v>521</v>
      </c>
      <c r="C499" s="1" t="s">
        <v>25</v>
      </c>
      <c r="D499" s="1" t="s">
        <v>26</v>
      </c>
      <c r="E499" s="1" t="s">
        <v>18</v>
      </c>
      <c r="F499" s="1" t="s">
        <v>33</v>
      </c>
      <c r="G499" s="1">
        <v>76.599999999999994</v>
      </c>
      <c r="H499" s="1">
        <v>10</v>
      </c>
      <c r="I499" s="1">
        <f t="shared" si="16"/>
        <v>38.300000000000004</v>
      </c>
      <c r="J499">
        <f t="shared" si="15"/>
        <v>804.3</v>
      </c>
    </row>
    <row r="500" spans="1:10" x14ac:dyDescent="0.3">
      <c r="A500" s="1" t="s">
        <v>9</v>
      </c>
      <c r="B500" s="1" t="s">
        <v>522</v>
      </c>
      <c r="C500" s="1" t="s">
        <v>16</v>
      </c>
      <c r="D500" s="1" t="s">
        <v>17</v>
      </c>
      <c r="E500" s="1" t="s">
        <v>13</v>
      </c>
      <c r="F500" s="1" t="s">
        <v>19</v>
      </c>
      <c r="G500" s="1">
        <v>60.95</v>
      </c>
      <c r="H500" s="1">
        <v>1</v>
      </c>
      <c r="I500" s="1">
        <f t="shared" si="16"/>
        <v>3.0475000000000003</v>
      </c>
      <c r="J500">
        <f t="shared" si="15"/>
        <v>63.997500000000002</v>
      </c>
    </row>
    <row r="501" spans="1:10" x14ac:dyDescent="0.3">
      <c r="A501" s="1" t="s">
        <v>9</v>
      </c>
      <c r="B501" s="1" t="s">
        <v>523</v>
      </c>
      <c r="C501" s="1" t="s">
        <v>25</v>
      </c>
      <c r="D501" s="1" t="s">
        <v>26</v>
      </c>
      <c r="E501" s="1" t="s">
        <v>18</v>
      </c>
      <c r="F501" s="1" t="s">
        <v>22</v>
      </c>
      <c r="G501" s="1">
        <v>97.38</v>
      </c>
      <c r="H501" s="1">
        <v>10</v>
      </c>
      <c r="I501" s="1">
        <f t="shared" si="16"/>
        <v>48.69</v>
      </c>
      <c r="J501">
        <f t="shared" si="15"/>
        <v>1022.49</v>
      </c>
    </row>
    <row r="502" spans="1:10" x14ac:dyDescent="0.3">
      <c r="A502" s="1" t="s">
        <v>9</v>
      </c>
      <c r="B502" s="1" t="s">
        <v>524</v>
      </c>
      <c r="C502" s="1" t="s">
        <v>11</v>
      </c>
      <c r="D502" s="1" t="s">
        <v>12</v>
      </c>
      <c r="E502" s="1" t="s">
        <v>13</v>
      </c>
      <c r="F502" s="1" t="s">
        <v>29</v>
      </c>
      <c r="G502" s="1">
        <v>88.34</v>
      </c>
      <c r="H502" s="1">
        <v>7</v>
      </c>
      <c r="I502" s="1">
        <f t="shared" si="16"/>
        <v>30.919</v>
      </c>
      <c r="J502">
        <f t="shared" si="15"/>
        <v>649.29899999999998</v>
      </c>
    </row>
    <row r="503" spans="1:10" x14ac:dyDescent="0.3">
      <c r="A503" s="1" t="s">
        <v>525</v>
      </c>
      <c r="B503" s="1" t="s">
        <v>526</v>
      </c>
      <c r="C503" s="1" t="s">
        <v>11</v>
      </c>
      <c r="D503" s="1" t="s">
        <v>12</v>
      </c>
      <c r="E503" s="1" t="s">
        <v>18</v>
      </c>
      <c r="F503" s="1" t="s">
        <v>22</v>
      </c>
      <c r="G503" s="1">
        <v>46.33</v>
      </c>
      <c r="H503" s="1">
        <v>7</v>
      </c>
      <c r="I503" s="1">
        <f t="shared" si="16"/>
        <v>16.215500000000002</v>
      </c>
      <c r="J503">
        <f t="shared" si="15"/>
        <v>340.52550000000002</v>
      </c>
    </row>
    <row r="504" spans="1:10" x14ac:dyDescent="0.3">
      <c r="A504" s="1" t="s">
        <v>525</v>
      </c>
      <c r="B504" s="1" t="s">
        <v>527</v>
      </c>
      <c r="C504" s="1" t="s">
        <v>11</v>
      </c>
      <c r="D504" s="1" t="s">
        <v>12</v>
      </c>
      <c r="E504" s="1" t="s">
        <v>13</v>
      </c>
      <c r="F504" s="1" t="s">
        <v>14</v>
      </c>
      <c r="G504" s="1">
        <v>58.22</v>
      </c>
      <c r="H504" s="1">
        <v>8</v>
      </c>
      <c r="I504" s="1">
        <f t="shared" si="16"/>
        <v>23.288</v>
      </c>
      <c r="J504">
        <f t="shared" si="15"/>
        <v>489.048</v>
      </c>
    </row>
    <row r="505" spans="1:10" x14ac:dyDescent="0.3">
      <c r="A505" s="1" t="s">
        <v>525</v>
      </c>
      <c r="B505" s="1" t="s">
        <v>528</v>
      </c>
      <c r="C505" s="1" t="s">
        <v>11</v>
      </c>
      <c r="D505" s="1" t="s">
        <v>12</v>
      </c>
      <c r="E505" s="1" t="s">
        <v>18</v>
      </c>
      <c r="F505" s="1" t="s">
        <v>33</v>
      </c>
      <c r="G505" s="1">
        <v>86.31</v>
      </c>
      <c r="H505" s="1">
        <v>7</v>
      </c>
      <c r="I505" s="1">
        <f t="shared" si="16"/>
        <v>30.208500000000004</v>
      </c>
      <c r="J505">
        <f t="shared" si="15"/>
        <v>634.37850000000003</v>
      </c>
    </row>
    <row r="506" spans="1:10" x14ac:dyDescent="0.3">
      <c r="A506" s="1" t="s">
        <v>525</v>
      </c>
      <c r="B506" s="1" t="s">
        <v>529</v>
      </c>
      <c r="C506" s="1" t="s">
        <v>16</v>
      </c>
      <c r="D506" s="1" t="s">
        <v>17</v>
      </c>
      <c r="E506" s="1" t="s">
        <v>18</v>
      </c>
      <c r="F506" s="1" t="s">
        <v>19</v>
      </c>
      <c r="G506" s="1">
        <v>85.39</v>
      </c>
      <c r="H506" s="1">
        <v>7</v>
      </c>
      <c r="I506" s="1">
        <f t="shared" si="16"/>
        <v>29.886500000000002</v>
      </c>
      <c r="J506">
        <f t="shared" si="15"/>
        <v>627.61649999999997</v>
      </c>
    </row>
    <row r="507" spans="1:10" x14ac:dyDescent="0.3">
      <c r="A507" s="1" t="s">
        <v>525</v>
      </c>
      <c r="B507" s="1" t="s">
        <v>530</v>
      </c>
      <c r="C507" s="1" t="s">
        <v>25</v>
      </c>
      <c r="D507" s="1" t="s">
        <v>26</v>
      </c>
      <c r="E507" s="1" t="s">
        <v>13</v>
      </c>
      <c r="F507" s="1" t="s">
        <v>19</v>
      </c>
      <c r="G507" s="1">
        <v>25.51</v>
      </c>
      <c r="H507" s="1">
        <v>4</v>
      </c>
      <c r="I507" s="1">
        <f t="shared" si="16"/>
        <v>5.1020000000000003</v>
      </c>
      <c r="J507">
        <f t="shared" si="15"/>
        <v>107.14200000000001</v>
      </c>
    </row>
    <row r="508" spans="1:10" x14ac:dyDescent="0.3">
      <c r="A508" s="1" t="s">
        <v>525</v>
      </c>
      <c r="B508" s="1" t="s">
        <v>531</v>
      </c>
      <c r="C508" s="1" t="s">
        <v>11</v>
      </c>
      <c r="D508" s="1" t="s">
        <v>12</v>
      </c>
      <c r="E508" s="1" t="s">
        <v>18</v>
      </c>
      <c r="F508" s="1" t="s">
        <v>27</v>
      </c>
      <c r="G508" s="1">
        <v>43.19</v>
      </c>
      <c r="H508" s="1">
        <v>10</v>
      </c>
      <c r="I508" s="1">
        <f t="shared" si="16"/>
        <v>21.594999999999999</v>
      </c>
      <c r="J508">
        <f t="shared" si="15"/>
        <v>453.495</v>
      </c>
    </row>
    <row r="509" spans="1:10" x14ac:dyDescent="0.3">
      <c r="A509" s="1" t="s">
        <v>525</v>
      </c>
      <c r="B509" s="1" t="s">
        <v>532</v>
      </c>
      <c r="C509" s="1" t="s">
        <v>11</v>
      </c>
      <c r="D509" s="1" t="s">
        <v>12</v>
      </c>
      <c r="E509" s="1" t="s">
        <v>18</v>
      </c>
      <c r="F509" s="1" t="s">
        <v>33</v>
      </c>
      <c r="G509" s="1">
        <v>72.61</v>
      </c>
      <c r="H509" s="1">
        <v>6</v>
      </c>
      <c r="I509" s="1">
        <f t="shared" si="16"/>
        <v>21.783000000000001</v>
      </c>
      <c r="J509">
        <f t="shared" si="15"/>
        <v>457.44299999999998</v>
      </c>
    </row>
    <row r="510" spans="1:10" x14ac:dyDescent="0.3">
      <c r="A510" s="1" t="s">
        <v>525</v>
      </c>
      <c r="B510" s="1" t="s">
        <v>533</v>
      </c>
      <c r="C510" s="1" t="s">
        <v>11</v>
      </c>
      <c r="D510" s="1" t="s">
        <v>12</v>
      </c>
      <c r="E510" s="1" t="s">
        <v>18</v>
      </c>
      <c r="F510" s="1" t="s">
        <v>27</v>
      </c>
      <c r="G510" s="1">
        <v>54.67</v>
      </c>
      <c r="H510" s="1">
        <v>3</v>
      </c>
      <c r="I510" s="1">
        <f t="shared" si="16"/>
        <v>8.2004999999999999</v>
      </c>
      <c r="J510">
        <f t="shared" si="15"/>
        <v>172.2105</v>
      </c>
    </row>
    <row r="511" spans="1:10" x14ac:dyDescent="0.3">
      <c r="A511" s="1" t="s">
        <v>525</v>
      </c>
      <c r="B511" s="1" t="s">
        <v>534</v>
      </c>
      <c r="C511" s="1" t="s">
        <v>16</v>
      </c>
      <c r="D511" s="1" t="s">
        <v>17</v>
      </c>
      <c r="E511" s="1" t="s">
        <v>13</v>
      </c>
      <c r="F511" s="1" t="s">
        <v>19</v>
      </c>
      <c r="G511" s="1">
        <v>86.04</v>
      </c>
      <c r="H511" s="1">
        <v>5</v>
      </c>
      <c r="I511" s="1">
        <f t="shared" si="16"/>
        <v>21.510000000000005</v>
      </c>
      <c r="J511">
        <f t="shared" si="15"/>
        <v>451.71000000000004</v>
      </c>
    </row>
    <row r="512" spans="1:10" x14ac:dyDescent="0.3">
      <c r="A512" s="1" t="s">
        <v>525</v>
      </c>
      <c r="B512" s="1" t="s">
        <v>535</v>
      </c>
      <c r="C512" s="1" t="s">
        <v>25</v>
      </c>
      <c r="D512" s="1" t="s">
        <v>26</v>
      </c>
      <c r="E512" s="1" t="s">
        <v>18</v>
      </c>
      <c r="F512" s="1" t="s">
        <v>14</v>
      </c>
      <c r="G512" s="1">
        <v>87.98</v>
      </c>
      <c r="H512" s="1">
        <v>3</v>
      </c>
      <c r="I512" s="1">
        <f t="shared" si="16"/>
        <v>13.197000000000001</v>
      </c>
      <c r="J512">
        <f t="shared" si="15"/>
        <v>277.137</v>
      </c>
    </row>
    <row r="513" spans="1:10" x14ac:dyDescent="0.3">
      <c r="A513" s="1" t="s">
        <v>525</v>
      </c>
      <c r="B513" s="1" t="s">
        <v>536</v>
      </c>
      <c r="C513" s="1" t="s">
        <v>25</v>
      </c>
      <c r="D513" s="1" t="s">
        <v>26</v>
      </c>
      <c r="E513" s="1" t="s">
        <v>18</v>
      </c>
      <c r="F513" s="1" t="s">
        <v>22</v>
      </c>
      <c r="G513" s="1">
        <v>33.200000000000003</v>
      </c>
      <c r="H513" s="1">
        <v>2</v>
      </c>
      <c r="I513" s="1">
        <f t="shared" si="16"/>
        <v>3.3200000000000003</v>
      </c>
      <c r="J513">
        <f t="shared" si="15"/>
        <v>69.72</v>
      </c>
    </row>
    <row r="514" spans="1:10" x14ac:dyDescent="0.3">
      <c r="A514" s="1" t="s">
        <v>525</v>
      </c>
      <c r="B514" s="1" t="s">
        <v>537</v>
      </c>
      <c r="C514" s="1" t="s">
        <v>11</v>
      </c>
      <c r="D514" s="1" t="s">
        <v>12</v>
      </c>
      <c r="E514" s="1" t="s">
        <v>18</v>
      </c>
      <c r="F514" s="1" t="s">
        <v>19</v>
      </c>
      <c r="G514" s="1">
        <v>34.56</v>
      </c>
      <c r="H514" s="1">
        <v>5</v>
      </c>
      <c r="I514" s="1">
        <f t="shared" si="16"/>
        <v>8.64</v>
      </c>
      <c r="J514">
        <f t="shared" si="15"/>
        <v>181.44</v>
      </c>
    </row>
    <row r="515" spans="1:10" x14ac:dyDescent="0.3">
      <c r="A515" s="1" t="s">
        <v>525</v>
      </c>
      <c r="B515" s="1" t="s">
        <v>538</v>
      </c>
      <c r="C515" s="1" t="s">
        <v>11</v>
      </c>
      <c r="D515" s="1" t="s">
        <v>12</v>
      </c>
      <c r="E515" s="1" t="s">
        <v>13</v>
      </c>
      <c r="F515" s="1" t="s">
        <v>33</v>
      </c>
      <c r="G515" s="1">
        <v>88.63</v>
      </c>
      <c r="H515" s="1">
        <v>3</v>
      </c>
      <c r="I515" s="1">
        <f t="shared" si="16"/>
        <v>13.294499999999999</v>
      </c>
      <c r="J515">
        <f t="shared" ref="J515:J578" si="17">(G515*H515)+I515</f>
        <v>279.18449999999996</v>
      </c>
    </row>
    <row r="516" spans="1:10" x14ac:dyDescent="0.3">
      <c r="A516" s="1" t="s">
        <v>525</v>
      </c>
      <c r="B516" s="1" t="s">
        <v>539</v>
      </c>
      <c r="C516" s="1" t="s">
        <v>25</v>
      </c>
      <c r="D516" s="1" t="s">
        <v>26</v>
      </c>
      <c r="E516" s="1" t="s">
        <v>18</v>
      </c>
      <c r="F516" s="1" t="s">
        <v>29</v>
      </c>
      <c r="G516" s="1">
        <v>33.520000000000003</v>
      </c>
      <c r="H516" s="1">
        <v>1</v>
      </c>
      <c r="I516" s="1">
        <f t="shared" si="16"/>
        <v>1.6760000000000002</v>
      </c>
      <c r="J516">
        <f t="shared" si="17"/>
        <v>35.196000000000005</v>
      </c>
    </row>
    <row r="517" spans="1:10" x14ac:dyDescent="0.3">
      <c r="A517" s="1" t="s">
        <v>525</v>
      </c>
      <c r="B517" s="1" t="s">
        <v>540</v>
      </c>
      <c r="C517" s="1" t="s">
        <v>11</v>
      </c>
      <c r="D517" s="1" t="s">
        <v>12</v>
      </c>
      <c r="E517" s="1" t="s">
        <v>18</v>
      </c>
      <c r="F517" s="1" t="s">
        <v>14</v>
      </c>
      <c r="G517" s="1">
        <v>24.89</v>
      </c>
      <c r="H517" s="1">
        <v>9</v>
      </c>
      <c r="I517" s="1">
        <f t="shared" si="16"/>
        <v>11.2005</v>
      </c>
      <c r="J517">
        <f t="shared" si="17"/>
        <v>235.2105</v>
      </c>
    </row>
    <row r="518" spans="1:10" x14ac:dyDescent="0.3">
      <c r="A518" s="1" t="s">
        <v>525</v>
      </c>
      <c r="B518" s="1" t="s">
        <v>541</v>
      </c>
      <c r="C518" s="1" t="s">
        <v>25</v>
      </c>
      <c r="D518" s="1" t="s">
        <v>26</v>
      </c>
      <c r="E518" s="1" t="s">
        <v>18</v>
      </c>
      <c r="F518" s="1" t="s">
        <v>29</v>
      </c>
      <c r="G518" s="1">
        <v>94.13</v>
      </c>
      <c r="H518" s="1">
        <v>5</v>
      </c>
      <c r="I518" s="1">
        <f t="shared" si="16"/>
        <v>23.532499999999999</v>
      </c>
      <c r="J518">
        <f t="shared" si="17"/>
        <v>494.1825</v>
      </c>
    </row>
    <row r="519" spans="1:10" x14ac:dyDescent="0.3">
      <c r="A519" s="1" t="s">
        <v>525</v>
      </c>
      <c r="B519" s="1" t="s">
        <v>542</v>
      </c>
      <c r="C519" s="1" t="s">
        <v>25</v>
      </c>
      <c r="D519" s="1" t="s">
        <v>26</v>
      </c>
      <c r="E519" s="1" t="s">
        <v>13</v>
      </c>
      <c r="F519" s="1" t="s">
        <v>33</v>
      </c>
      <c r="G519" s="1">
        <v>78.069999999999993</v>
      </c>
      <c r="H519" s="1">
        <v>9</v>
      </c>
      <c r="I519" s="1">
        <f t="shared" si="16"/>
        <v>35.131499999999996</v>
      </c>
      <c r="J519">
        <f t="shared" si="17"/>
        <v>737.76149999999984</v>
      </c>
    </row>
    <row r="520" spans="1:10" x14ac:dyDescent="0.3">
      <c r="A520" s="1" t="s">
        <v>525</v>
      </c>
      <c r="B520" s="1" t="s">
        <v>543</v>
      </c>
      <c r="C520" s="1" t="s">
        <v>25</v>
      </c>
      <c r="D520" s="1" t="s">
        <v>26</v>
      </c>
      <c r="E520" s="1" t="s">
        <v>18</v>
      </c>
      <c r="F520" s="1" t="s">
        <v>33</v>
      </c>
      <c r="G520" s="1">
        <v>83.78</v>
      </c>
      <c r="H520" s="1">
        <v>8</v>
      </c>
      <c r="I520" s="1">
        <f t="shared" si="16"/>
        <v>33.512</v>
      </c>
      <c r="J520">
        <f t="shared" si="17"/>
        <v>703.75199999999995</v>
      </c>
    </row>
    <row r="521" spans="1:10" x14ac:dyDescent="0.3">
      <c r="A521" s="1" t="s">
        <v>525</v>
      </c>
      <c r="B521" s="1" t="s">
        <v>544</v>
      </c>
      <c r="C521" s="1" t="s">
        <v>11</v>
      </c>
      <c r="D521" s="1" t="s">
        <v>12</v>
      </c>
      <c r="E521" s="1" t="s">
        <v>18</v>
      </c>
      <c r="F521" s="1" t="s">
        <v>14</v>
      </c>
      <c r="G521" s="1">
        <v>96.58</v>
      </c>
      <c r="H521" s="1">
        <v>2</v>
      </c>
      <c r="I521" s="1">
        <f t="shared" si="16"/>
        <v>9.6580000000000013</v>
      </c>
      <c r="J521">
        <f t="shared" si="17"/>
        <v>202.81799999999998</v>
      </c>
    </row>
    <row r="522" spans="1:10" x14ac:dyDescent="0.3">
      <c r="A522" s="1" t="s">
        <v>525</v>
      </c>
      <c r="B522" s="1" t="s">
        <v>545</v>
      </c>
      <c r="C522" s="1" t="s">
        <v>11</v>
      </c>
      <c r="D522" s="1" t="s">
        <v>12</v>
      </c>
      <c r="E522" s="1" t="s">
        <v>13</v>
      </c>
      <c r="F522" s="1" t="s">
        <v>33</v>
      </c>
      <c r="G522" s="1">
        <v>62.62</v>
      </c>
      <c r="H522" s="1">
        <v>5</v>
      </c>
      <c r="I522" s="1">
        <f t="shared" si="16"/>
        <v>15.654999999999999</v>
      </c>
      <c r="J522">
        <f t="shared" si="17"/>
        <v>328.75499999999994</v>
      </c>
    </row>
    <row r="523" spans="1:10" x14ac:dyDescent="0.3">
      <c r="A523" s="1" t="s">
        <v>525</v>
      </c>
      <c r="B523" s="1" t="s">
        <v>546</v>
      </c>
      <c r="C523" s="1" t="s">
        <v>25</v>
      </c>
      <c r="D523" s="1" t="s">
        <v>26</v>
      </c>
      <c r="E523" s="1" t="s">
        <v>13</v>
      </c>
      <c r="F523" s="1" t="s">
        <v>22</v>
      </c>
      <c r="G523" s="1">
        <v>30.12</v>
      </c>
      <c r="H523" s="1">
        <v>8</v>
      </c>
      <c r="I523" s="1">
        <f t="shared" si="16"/>
        <v>12.048000000000002</v>
      </c>
      <c r="J523">
        <f t="shared" si="17"/>
        <v>253.00800000000001</v>
      </c>
    </row>
    <row r="524" spans="1:10" x14ac:dyDescent="0.3">
      <c r="A524" s="1" t="s">
        <v>525</v>
      </c>
      <c r="B524" s="1" t="s">
        <v>547</v>
      </c>
      <c r="C524" s="1" t="s">
        <v>16</v>
      </c>
      <c r="D524" s="1" t="s">
        <v>17</v>
      </c>
      <c r="E524" s="1" t="s">
        <v>13</v>
      </c>
      <c r="F524" s="1" t="s">
        <v>22</v>
      </c>
      <c r="G524" s="1">
        <v>56.11</v>
      </c>
      <c r="H524" s="1">
        <v>2</v>
      </c>
      <c r="I524" s="1">
        <f t="shared" si="16"/>
        <v>5.6110000000000007</v>
      </c>
      <c r="J524">
        <f t="shared" si="17"/>
        <v>117.831</v>
      </c>
    </row>
    <row r="525" spans="1:10" x14ac:dyDescent="0.3">
      <c r="A525" s="1" t="s">
        <v>525</v>
      </c>
      <c r="B525" s="1" t="s">
        <v>548</v>
      </c>
      <c r="C525" s="1" t="s">
        <v>16</v>
      </c>
      <c r="D525" s="1" t="s">
        <v>17</v>
      </c>
      <c r="E525" s="1" t="s">
        <v>13</v>
      </c>
      <c r="F525" s="1" t="s">
        <v>14</v>
      </c>
      <c r="G525" s="1">
        <v>15.37</v>
      </c>
      <c r="H525" s="1">
        <v>2</v>
      </c>
      <c r="I525" s="1">
        <f t="shared" si="16"/>
        <v>1.5369999999999999</v>
      </c>
      <c r="J525">
        <f t="shared" si="17"/>
        <v>32.277000000000001</v>
      </c>
    </row>
    <row r="526" spans="1:10" x14ac:dyDescent="0.3">
      <c r="A526" s="1" t="s">
        <v>525</v>
      </c>
      <c r="B526" s="1" t="s">
        <v>549</v>
      </c>
      <c r="C526" s="1" t="s">
        <v>25</v>
      </c>
      <c r="D526" s="1" t="s">
        <v>26</v>
      </c>
      <c r="E526" s="1" t="s">
        <v>13</v>
      </c>
      <c r="F526" s="1" t="s">
        <v>14</v>
      </c>
      <c r="G526" s="1">
        <v>56.69</v>
      </c>
      <c r="H526" s="1">
        <v>9</v>
      </c>
      <c r="I526" s="1">
        <f t="shared" si="16"/>
        <v>25.5105</v>
      </c>
      <c r="J526">
        <f t="shared" si="17"/>
        <v>535.72050000000002</v>
      </c>
    </row>
    <row r="527" spans="1:10" x14ac:dyDescent="0.3">
      <c r="A527" s="1" t="s">
        <v>525</v>
      </c>
      <c r="B527" s="1" t="s">
        <v>550</v>
      </c>
      <c r="C527" s="1" t="s">
        <v>25</v>
      </c>
      <c r="D527" s="1" t="s">
        <v>26</v>
      </c>
      <c r="E527" s="1" t="s">
        <v>13</v>
      </c>
      <c r="F527" s="1" t="s">
        <v>19</v>
      </c>
      <c r="G527" s="1">
        <v>18.93</v>
      </c>
      <c r="H527" s="1">
        <v>6</v>
      </c>
      <c r="I527" s="1">
        <f t="shared" si="16"/>
        <v>5.6790000000000003</v>
      </c>
      <c r="J527">
        <f t="shared" si="17"/>
        <v>119.259</v>
      </c>
    </row>
    <row r="528" spans="1:10" x14ac:dyDescent="0.3">
      <c r="A528" s="1" t="s">
        <v>525</v>
      </c>
      <c r="B528" s="1" t="s">
        <v>551</v>
      </c>
      <c r="C528" s="1" t="s">
        <v>16</v>
      </c>
      <c r="D528" s="1" t="s">
        <v>17</v>
      </c>
      <c r="E528" s="1" t="s">
        <v>13</v>
      </c>
      <c r="F528" s="1" t="s">
        <v>27</v>
      </c>
      <c r="G528" s="1">
        <v>91.4</v>
      </c>
      <c r="H528" s="1">
        <v>7</v>
      </c>
      <c r="I528" s="1">
        <f t="shared" si="16"/>
        <v>31.990000000000006</v>
      </c>
      <c r="J528">
        <f t="shared" si="17"/>
        <v>671.79000000000008</v>
      </c>
    </row>
    <row r="529" spans="1:10" x14ac:dyDescent="0.3">
      <c r="A529" s="1" t="s">
        <v>525</v>
      </c>
      <c r="B529" s="1" t="s">
        <v>552</v>
      </c>
      <c r="C529" s="1" t="s">
        <v>16</v>
      </c>
      <c r="D529" s="1" t="s">
        <v>17</v>
      </c>
      <c r="E529" s="1" t="s">
        <v>13</v>
      </c>
      <c r="F529" s="1" t="s">
        <v>29</v>
      </c>
      <c r="G529" s="1">
        <v>15.43</v>
      </c>
      <c r="H529" s="1">
        <v>1</v>
      </c>
      <c r="I529" s="1">
        <f t="shared" si="16"/>
        <v>0.77150000000000007</v>
      </c>
      <c r="J529">
        <f t="shared" si="17"/>
        <v>16.201499999999999</v>
      </c>
    </row>
    <row r="530" spans="1:10" x14ac:dyDescent="0.3">
      <c r="A530" s="1" t="s">
        <v>525</v>
      </c>
      <c r="B530" s="1" t="s">
        <v>553</v>
      </c>
      <c r="C530" s="1" t="s">
        <v>25</v>
      </c>
      <c r="D530" s="1" t="s">
        <v>26</v>
      </c>
      <c r="E530" s="1" t="s">
        <v>18</v>
      </c>
      <c r="F530" s="1" t="s">
        <v>22</v>
      </c>
      <c r="G530" s="1">
        <v>16.16</v>
      </c>
      <c r="H530" s="1">
        <v>2</v>
      </c>
      <c r="I530" s="1">
        <f t="shared" si="16"/>
        <v>1.6160000000000001</v>
      </c>
      <c r="J530">
        <f t="shared" si="17"/>
        <v>33.936</v>
      </c>
    </row>
    <row r="531" spans="1:10" x14ac:dyDescent="0.3">
      <c r="A531" s="1" t="s">
        <v>525</v>
      </c>
      <c r="B531" s="1" t="s">
        <v>554</v>
      </c>
      <c r="C531" s="1" t="s">
        <v>11</v>
      </c>
      <c r="D531" s="1" t="s">
        <v>12</v>
      </c>
      <c r="E531" s="1" t="s">
        <v>13</v>
      </c>
      <c r="F531" s="1" t="s">
        <v>22</v>
      </c>
      <c r="G531" s="1">
        <v>44.34</v>
      </c>
      <c r="H531" s="1">
        <v>2</v>
      </c>
      <c r="I531" s="1">
        <f t="shared" si="16"/>
        <v>4.4340000000000002</v>
      </c>
      <c r="J531">
        <f t="shared" si="17"/>
        <v>93.114000000000004</v>
      </c>
    </row>
    <row r="532" spans="1:10" x14ac:dyDescent="0.3">
      <c r="A532" s="1" t="s">
        <v>525</v>
      </c>
      <c r="B532" s="1" t="s">
        <v>555</v>
      </c>
      <c r="C532" s="1" t="s">
        <v>11</v>
      </c>
      <c r="D532" s="1" t="s">
        <v>12</v>
      </c>
      <c r="E532" s="1" t="s">
        <v>18</v>
      </c>
      <c r="F532" s="1" t="s">
        <v>14</v>
      </c>
      <c r="G532" s="1">
        <v>89.6</v>
      </c>
      <c r="H532" s="1">
        <v>8</v>
      </c>
      <c r="I532" s="1">
        <f t="shared" si="16"/>
        <v>35.839999999999996</v>
      </c>
      <c r="J532">
        <f t="shared" si="17"/>
        <v>752.64</v>
      </c>
    </row>
    <row r="533" spans="1:10" x14ac:dyDescent="0.3">
      <c r="A533" s="1" t="s">
        <v>525</v>
      </c>
      <c r="B533" s="1" t="s">
        <v>556</v>
      </c>
      <c r="C533" s="1" t="s">
        <v>16</v>
      </c>
      <c r="D533" s="1" t="s">
        <v>17</v>
      </c>
      <c r="E533" s="1" t="s">
        <v>18</v>
      </c>
      <c r="F533" s="1" t="s">
        <v>19</v>
      </c>
      <c r="G533" s="1">
        <v>30.61</v>
      </c>
      <c r="H533" s="1">
        <v>6</v>
      </c>
      <c r="I533" s="1">
        <f t="shared" si="16"/>
        <v>9.1829999999999998</v>
      </c>
      <c r="J533">
        <f t="shared" si="17"/>
        <v>192.84299999999999</v>
      </c>
    </row>
    <row r="534" spans="1:10" x14ac:dyDescent="0.3">
      <c r="A534" s="1" t="s">
        <v>525</v>
      </c>
      <c r="B534" s="1" t="s">
        <v>557</v>
      </c>
      <c r="C534" s="1" t="s">
        <v>16</v>
      </c>
      <c r="D534" s="1" t="s">
        <v>17</v>
      </c>
      <c r="E534" s="1" t="s">
        <v>18</v>
      </c>
      <c r="F534" s="1" t="s">
        <v>22</v>
      </c>
      <c r="G534" s="1">
        <v>55.73</v>
      </c>
      <c r="H534" s="1">
        <v>6</v>
      </c>
      <c r="I534" s="1">
        <f t="shared" si="16"/>
        <v>16.719000000000001</v>
      </c>
      <c r="J534">
        <f t="shared" si="17"/>
        <v>351.09899999999999</v>
      </c>
    </row>
    <row r="535" spans="1:10" x14ac:dyDescent="0.3">
      <c r="A535" s="1" t="s">
        <v>525</v>
      </c>
      <c r="B535" s="1" t="s">
        <v>558</v>
      </c>
      <c r="C535" s="1" t="s">
        <v>11</v>
      </c>
      <c r="D535" s="1" t="s">
        <v>12</v>
      </c>
      <c r="E535" s="1" t="s">
        <v>13</v>
      </c>
      <c r="F535" s="1" t="s">
        <v>33</v>
      </c>
      <c r="G535" s="1">
        <v>15.81</v>
      </c>
      <c r="H535" s="1">
        <v>10</v>
      </c>
      <c r="I535" s="1">
        <f t="shared" si="16"/>
        <v>7.9050000000000002</v>
      </c>
      <c r="J535">
        <f t="shared" si="17"/>
        <v>166.005</v>
      </c>
    </row>
    <row r="536" spans="1:10" x14ac:dyDescent="0.3">
      <c r="A536" s="1" t="s">
        <v>525</v>
      </c>
      <c r="B536" s="1" t="s">
        <v>559</v>
      </c>
      <c r="C536" s="1" t="s">
        <v>25</v>
      </c>
      <c r="D536" s="1" t="s">
        <v>26</v>
      </c>
      <c r="E536" s="1" t="s">
        <v>13</v>
      </c>
      <c r="F536" s="1" t="s">
        <v>14</v>
      </c>
      <c r="G536" s="1">
        <v>75.739999999999995</v>
      </c>
      <c r="H536" s="1">
        <v>4</v>
      </c>
      <c r="I536" s="1">
        <f t="shared" si="16"/>
        <v>15.148</v>
      </c>
      <c r="J536">
        <f t="shared" si="17"/>
        <v>318.108</v>
      </c>
    </row>
    <row r="537" spans="1:10" x14ac:dyDescent="0.3">
      <c r="A537" s="1" t="s">
        <v>525</v>
      </c>
      <c r="B537" s="1" t="s">
        <v>560</v>
      </c>
      <c r="C537" s="1" t="s">
        <v>11</v>
      </c>
      <c r="D537" s="1" t="s">
        <v>12</v>
      </c>
      <c r="E537" s="1" t="s">
        <v>13</v>
      </c>
      <c r="F537" s="1" t="s">
        <v>14</v>
      </c>
      <c r="G537" s="1">
        <v>15.87</v>
      </c>
      <c r="H537" s="1">
        <v>10</v>
      </c>
      <c r="I537" s="1">
        <f t="shared" ref="I537:I600" si="18">(G537*H537)*5%</f>
        <v>7.9349999999999996</v>
      </c>
      <c r="J537">
        <f t="shared" si="17"/>
        <v>166.63499999999999</v>
      </c>
    </row>
    <row r="538" spans="1:10" x14ac:dyDescent="0.3">
      <c r="A538" s="1" t="s">
        <v>525</v>
      </c>
      <c r="B538" s="1" t="s">
        <v>561</v>
      </c>
      <c r="C538" s="1" t="s">
        <v>11</v>
      </c>
      <c r="D538" s="1" t="s">
        <v>12</v>
      </c>
      <c r="E538" s="1" t="s">
        <v>18</v>
      </c>
      <c r="F538" s="1" t="s">
        <v>33</v>
      </c>
      <c r="G538" s="1">
        <v>78.77</v>
      </c>
      <c r="H538" s="1">
        <v>10</v>
      </c>
      <c r="I538" s="1">
        <f t="shared" si="18"/>
        <v>39.384999999999998</v>
      </c>
      <c r="J538">
        <f t="shared" si="17"/>
        <v>827.08499999999992</v>
      </c>
    </row>
    <row r="539" spans="1:10" x14ac:dyDescent="0.3">
      <c r="A539" s="1" t="s">
        <v>525</v>
      </c>
      <c r="B539" s="1" t="s">
        <v>562</v>
      </c>
      <c r="C539" s="1" t="s">
        <v>16</v>
      </c>
      <c r="D539" s="1" t="s">
        <v>17</v>
      </c>
      <c r="E539" s="1" t="s">
        <v>18</v>
      </c>
      <c r="F539" s="1" t="s">
        <v>27</v>
      </c>
      <c r="G539" s="1">
        <v>89.48</v>
      </c>
      <c r="H539" s="1">
        <v>10</v>
      </c>
      <c r="I539" s="1">
        <f t="shared" si="18"/>
        <v>44.740000000000009</v>
      </c>
      <c r="J539">
        <f t="shared" si="17"/>
        <v>939.54000000000008</v>
      </c>
    </row>
    <row r="540" spans="1:10" x14ac:dyDescent="0.3">
      <c r="A540" s="1" t="s">
        <v>525</v>
      </c>
      <c r="B540" s="1" t="s">
        <v>563</v>
      </c>
      <c r="C540" s="1" t="s">
        <v>16</v>
      </c>
      <c r="D540" s="1" t="s">
        <v>17</v>
      </c>
      <c r="E540" s="1" t="s">
        <v>18</v>
      </c>
      <c r="F540" s="1" t="s">
        <v>29</v>
      </c>
      <c r="G540" s="1">
        <v>62.12</v>
      </c>
      <c r="H540" s="1">
        <v>10</v>
      </c>
      <c r="I540" s="1">
        <f t="shared" si="18"/>
        <v>31.06</v>
      </c>
      <c r="J540">
        <f t="shared" si="17"/>
        <v>652.25999999999988</v>
      </c>
    </row>
    <row r="541" spans="1:10" x14ac:dyDescent="0.3">
      <c r="A541" s="1" t="s">
        <v>525</v>
      </c>
      <c r="B541" s="1" t="s">
        <v>564</v>
      </c>
      <c r="C541" s="1" t="s">
        <v>11</v>
      </c>
      <c r="D541" s="1" t="s">
        <v>12</v>
      </c>
      <c r="E541" s="1" t="s">
        <v>18</v>
      </c>
      <c r="F541" s="1" t="s">
        <v>22</v>
      </c>
      <c r="G541" s="1">
        <v>74.67</v>
      </c>
      <c r="H541" s="1">
        <v>9</v>
      </c>
      <c r="I541" s="1">
        <f t="shared" si="18"/>
        <v>33.601500000000001</v>
      </c>
      <c r="J541">
        <f t="shared" si="17"/>
        <v>705.63149999999996</v>
      </c>
    </row>
    <row r="542" spans="1:10" x14ac:dyDescent="0.3">
      <c r="A542" s="1" t="s">
        <v>525</v>
      </c>
      <c r="B542" s="1" t="s">
        <v>565</v>
      </c>
      <c r="C542" s="1" t="s">
        <v>16</v>
      </c>
      <c r="D542" s="1" t="s">
        <v>17</v>
      </c>
      <c r="E542" s="1" t="s">
        <v>13</v>
      </c>
      <c r="F542" s="1" t="s">
        <v>29</v>
      </c>
      <c r="G542" s="1">
        <v>49.04</v>
      </c>
      <c r="H542" s="1">
        <v>9</v>
      </c>
      <c r="I542" s="1">
        <f t="shared" si="18"/>
        <v>22.068000000000001</v>
      </c>
      <c r="J542">
        <f t="shared" si="17"/>
        <v>463.428</v>
      </c>
    </row>
    <row r="543" spans="1:10" x14ac:dyDescent="0.3">
      <c r="A543" s="1" t="s">
        <v>525</v>
      </c>
      <c r="B543" s="1" t="s">
        <v>566</v>
      </c>
      <c r="C543" s="1" t="s">
        <v>16</v>
      </c>
      <c r="D543" s="1" t="s">
        <v>17</v>
      </c>
      <c r="E543" s="1" t="s">
        <v>18</v>
      </c>
      <c r="F543" s="1" t="s">
        <v>27</v>
      </c>
      <c r="G543" s="1">
        <v>19.25</v>
      </c>
      <c r="H543" s="1">
        <v>8</v>
      </c>
      <c r="I543" s="1">
        <f t="shared" si="18"/>
        <v>7.7</v>
      </c>
      <c r="J543">
        <f t="shared" si="17"/>
        <v>161.69999999999999</v>
      </c>
    </row>
    <row r="544" spans="1:10" x14ac:dyDescent="0.3">
      <c r="A544" s="1" t="s">
        <v>525</v>
      </c>
      <c r="B544" s="1" t="s">
        <v>567</v>
      </c>
      <c r="C544" s="1" t="s">
        <v>16</v>
      </c>
      <c r="D544" s="1" t="s">
        <v>17</v>
      </c>
      <c r="E544" s="1" t="s">
        <v>13</v>
      </c>
      <c r="F544" s="1" t="s">
        <v>33</v>
      </c>
      <c r="G544" s="1">
        <v>48.91</v>
      </c>
      <c r="H544" s="1">
        <v>5</v>
      </c>
      <c r="I544" s="1">
        <f t="shared" si="18"/>
        <v>12.227499999999999</v>
      </c>
      <c r="J544">
        <f t="shared" si="17"/>
        <v>256.77749999999997</v>
      </c>
    </row>
    <row r="545" spans="1:10" x14ac:dyDescent="0.3">
      <c r="A545" s="1" t="s">
        <v>525</v>
      </c>
      <c r="B545" s="1" t="s">
        <v>568</v>
      </c>
      <c r="C545" s="1" t="s">
        <v>16</v>
      </c>
      <c r="D545" s="1" t="s">
        <v>17</v>
      </c>
      <c r="E545" s="1" t="s">
        <v>18</v>
      </c>
      <c r="F545" s="1" t="s">
        <v>29</v>
      </c>
      <c r="G545" s="1">
        <v>76.52</v>
      </c>
      <c r="H545" s="1">
        <v>5</v>
      </c>
      <c r="I545" s="1">
        <f t="shared" si="18"/>
        <v>19.13</v>
      </c>
      <c r="J545">
        <f t="shared" si="17"/>
        <v>401.72999999999996</v>
      </c>
    </row>
    <row r="546" spans="1:10" x14ac:dyDescent="0.3">
      <c r="A546" s="1" t="s">
        <v>525</v>
      </c>
      <c r="B546" s="1" t="s">
        <v>569</v>
      </c>
      <c r="C546" s="1" t="s">
        <v>11</v>
      </c>
      <c r="D546" s="1" t="s">
        <v>12</v>
      </c>
      <c r="E546" s="1" t="s">
        <v>13</v>
      </c>
      <c r="F546" s="1" t="s">
        <v>27</v>
      </c>
      <c r="G546" s="1">
        <v>49.38</v>
      </c>
      <c r="H546" s="1">
        <v>7</v>
      </c>
      <c r="I546" s="1">
        <f t="shared" si="18"/>
        <v>17.283000000000001</v>
      </c>
      <c r="J546">
        <f t="shared" si="17"/>
        <v>362.94300000000004</v>
      </c>
    </row>
    <row r="547" spans="1:10" x14ac:dyDescent="0.3">
      <c r="A547" s="1" t="s">
        <v>525</v>
      </c>
      <c r="B547" s="1" t="s">
        <v>570</v>
      </c>
      <c r="C547" s="1" t="s">
        <v>11</v>
      </c>
      <c r="D547" s="1" t="s">
        <v>12</v>
      </c>
      <c r="E547" s="1" t="s">
        <v>18</v>
      </c>
      <c r="F547" s="1" t="s">
        <v>33</v>
      </c>
      <c r="G547" s="1">
        <v>42.47</v>
      </c>
      <c r="H547" s="1">
        <v>1</v>
      </c>
      <c r="I547" s="1">
        <f t="shared" si="18"/>
        <v>2.1234999999999999</v>
      </c>
      <c r="J547">
        <f t="shared" si="17"/>
        <v>44.593499999999999</v>
      </c>
    </row>
    <row r="548" spans="1:10" x14ac:dyDescent="0.3">
      <c r="A548" s="1" t="s">
        <v>525</v>
      </c>
      <c r="B548" s="1" t="s">
        <v>571</v>
      </c>
      <c r="C548" s="1" t="s">
        <v>25</v>
      </c>
      <c r="D548" s="1" t="s">
        <v>26</v>
      </c>
      <c r="E548" s="1" t="s">
        <v>13</v>
      </c>
      <c r="F548" s="1" t="s">
        <v>14</v>
      </c>
      <c r="G548" s="1">
        <v>64.36</v>
      </c>
      <c r="H548" s="1">
        <v>9</v>
      </c>
      <c r="I548" s="1">
        <f t="shared" si="18"/>
        <v>28.962000000000003</v>
      </c>
      <c r="J548">
        <f t="shared" si="17"/>
        <v>608.202</v>
      </c>
    </row>
    <row r="549" spans="1:10" x14ac:dyDescent="0.3">
      <c r="A549" s="1" t="s">
        <v>525</v>
      </c>
      <c r="B549" s="1" t="s">
        <v>572</v>
      </c>
      <c r="C549" s="1" t="s">
        <v>16</v>
      </c>
      <c r="D549" s="1" t="s">
        <v>17</v>
      </c>
      <c r="E549" s="1" t="s">
        <v>18</v>
      </c>
      <c r="F549" s="1" t="s">
        <v>14</v>
      </c>
      <c r="G549" s="1">
        <v>89.75</v>
      </c>
      <c r="H549" s="1">
        <v>1</v>
      </c>
      <c r="I549" s="1">
        <f t="shared" si="18"/>
        <v>4.4874999999999998</v>
      </c>
      <c r="J549">
        <f t="shared" si="17"/>
        <v>94.237499999999997</v>
      </c>
    </row>
    <row r="550" spans="1:10" x14ac:dyDescent="0.3">
      <c r="A550" s="1" t="s">
        <v>525</v>
      </c>
      <c r="B550" s="1" t="s">
        <v>573</v>
      </c>
      <c r="C550" s="1" t="s">
        <v>11</v>
      </c>
      <c r="D550" s="1" t="s">
        <v>12</v>
      </c>
      <c r="E550" s="1" t="s">
        <v>18</v>
      </c>
      <c r="F550" s="1" t="s">
        <v>19</v>
      </c>
      <c r="G550" s="1">
        <v>97.16</v>
      </c>
      <c r="H550" s="1">
        <v>1</v>
      </c>
      <c r="I550" s="1">
        <f t="shared" si="18"/>
        <v>4.8580000000000005</v>
      </c>
      <c r="J550">
        <f t="shared" si="17"/>
        <v>102.018</v>
      </c>
    </row>
    <row r="551" spans="1:10" x14ac:dyDescent="0.3">
      <c r="A551" s="1" t="s">
        <v>525</v>
      </c>
      <c r="B551" s="1" t="s">
        <v>574</v>
      </c>
      <c r="C551" s="1" t="s">
        <v>25</v>
      </c>
      <c r="D551" s="1" t="s">
        <v>26</v>
      </c>
      <c r="E551" s="1" t="s">
        <v>18</v>
      </c>
      <c r="F551" s="1" t="s">
        <v>14</v>
      </c>
      <c r="G551" s="1">
        <v>87.87</v>
      </c>
      <c r="H551" s="1">
        <v>10</v>
      </c>
      <c r="I551" s="1">
        <f t="shared" si="18"/>
        <v>43.935000000000002</v>
      </c>
      <c r="J551">
        <f t="shared" si="17"/>
        <v>922.63499999999999</v>
      </c>
    </row>
    <row r="552" spans="1:10" x14ac:dyDescent="0.3">
      <c r="A552" s="1" t="s">
        <v>525</v>
      </c>
      <c r="B552" s="1" t="s">
        <v>575</v>
      </c>
      <c r="C552" s="1" t="s">
        <v>11</v>
      </c>
      <c r="D552" s="1" t="s">
        <v>12</v>
      </c>
      <c r="E552" s="1" t="s">
        <v>18</v>
      </c>
      <c r="F552" s="1" t="s">
        <v>27</v>
      </c>
      <c r="G552" s="1">
        <v>52.75</v>
      </c>
      <c r="H552" s="1">
        <v>3</v>
      </c>
      <c r="I552" s="1">
        <f t="shared" si="18"/>
        <v>7.9125000000000005</v>
      </c>
      <c r="J552">
        <f t="shared" si="17"/>
        <v>166.16249999999999</v>
      </c>
    </row>
    <row r="553" spans="1:10" x14ac:dyDescent="0.3">
      <c r="A553" s="1" t="s">
        <v>525</v>
      </c>
      <c r="B553" s="1" t="s">
        <v>576</v>
      </c>
      <c r="C553" s="1" t="s">
        <v>25</v>
      </c>
      <c r="D553" s="1" t="s">
        <v>26</v>
      </c>
      <c r="E553" s="1" t="s">
        <v>18</v>
      </c>
      <c r="F553" s="1" t="s">
        <v>22</v>
      </c>
      <c r="G553" s="1">
        <v>82.7</v>
      </c>
      <c r="H553" s="1">
        <v>6</v>
      </c>
      <c r="I553" s="1">
        <f t="shared" si="18"/>
        <v>24.810000000000002</v>
      </c>
      <c r="J553">
        <f t="shared" si="17"/>
        <v>521.01</v>
      </c>
    </row>
    <row r="554" spans="1:10" x14ac:dyDescent="0.3">
      <c r="A554" s="1" t="s">
        <v>525</v>
      </c>
      <c r="B554" s="1" t="s">
        <v>577</v>
      </c>
      <c r="C554" s="1" t="s">
        <v>16</v>
      </c>
      <c r="D554" s="1" t="s">
        <v>17</v>
      </c>
      <c r="E554" s="1" t="s">
        <v>13</v>
      </c>
      <c r="F554" s="1" t="s">
        <v>29</v>
      </c>
      <c r="G554" s="1">
        <v>48.71</v>
      </c>
      <c r="H554" s="1">
        <v>1</v>
      </c>
      <c r="I554" s="1">
        <f t="shared" si="18"/>
        <v>2.4355000000000002</v>
      </c>
      <c r="J554">
        <f t="shared" si="17"/>
        <v>51.145499999999998</v>
      </c>
    </row>
    <row r="555" spans="1:10" x14ac:dyDescent="0.3">
      <c r="A555" s="1" t="s">
        <v>525</v>
      </c>
      <c r="B555" s="1" t="s">
        <v>578</v>
      </c>
      <c r="C555" s="1" t="s">
        <v>16</v>
      </c>
      <c r="D555" s="1" t="s">
        <v>17</v>
      </c>
      <c r="E555" s="1" t="s">
        <v>18</v>
      </c>
      <c r="F555" s="1" t="s">
        <v>29</v>
      </c>
      <c r="G555" s="1">
        <v>78.55</v>
      </c>
      <c r="H555" s="1">
        <v>9</v>
      </c>
      <c r="I555" s="1">
        <f t="shared" si="18"/>
        <v>35.347499999999997</v>
      </c>
      <c r="J555">
        <f t="shared" si="17"/>
        <v>742.2974999999999</v>
      </c>
    </row>
    <row r="556" spans="1:10" x14ac:dyDescent="0.3">
      <c r="A556" s="1" t="s">
        <v>525</v>
      </c>
      <c r="B556" s="1" t="s">
        <v>579</v>
      </c>
      <c r="C556" s="1" t="s">
        <v>11</v>
      </c>
      <c r="D556" s="1" t="s">
        <v>12</v>
      </c>
      <c r="E556" s="1" t="s">
        <v>18</v>
      </c>
      <c r="F556" s="1" t="s">
        <v>27</v>
      </c>
      <c r="G556" s="1">
        <v>58.26</v>
      </c>
      <c r="H556" s="1">
        <v>6</v>
      </c>
      <c r="I556" s="1">
        <f t="shared" si="18"/>
        <v>17.478000000000002</v>
      </c>
      <c r="J556">
        <f t="shared" si="17"/>
        <v>367.03800000000001</v>
      </c>
    </row>
    <row r="557" spans="1:10" x14ac:dyDescent="0.3">
      <c r="A557" s="1" t="s">
        <v>525</v>
      </c>
      <c r="B557" s="1" t="s">
        <v>580</v>
      </c>
      <c r="C557" s="1" t="s">
        <v>25</v>
      </c>
      <c r="D557" s="1" t="s">
        <v>26</v>
      </c>
      <c r="E557" s="1" t="s">
        <v>18</v>
      </c>
      <c r="F557" s="1" t="s">
        <v>14</v>
      </c>
      <c r="G557" s="1">
        <v>30.35</v>
      </c>
      <c r="H557" s="1">
        <v>7</v>
      </c>
      <c r="I557" s="1">
        <f t="shared" si="18"/>
        <v>10.622500000000002</v>
      </c>
      <c r="J557">
        <f t="shared" si="17"/>
        <v>223.07250000000002</v>
      </c>
    </row>
    <row r="558" spans="1:10" x14ac:dyDescent="0.3">
      <c r="A558" s="1" t="s">
        <v>525</v>
      </c>
      <c r="B558" s="1" t="s">
        <v>581</v>
      </c>
      <c r="C558" s="1" t="s">
        <v>11</v>
      </c>
      <c r="D558" s="1" t="s">
        <v>12</v>
      </c>
      <c r="E558" s="1" t="s">
        <v>13</v>
      </c>
      <c r="F558" s="1" t="s">
        <v>19</v>
      </c>
      <c r="G558" s="1">
        <v>88.67</v>
      </c>
      <c r="H558" s="1">
        <v>10</v>
      </c>
      <c r="I558" s="1">
        <f t="shared" si="18"/>
        <v>44.335000000000008</v>
      </c>
      <c r="J558">
        <f t="shared" si="17"/>
        <v>931.03500000000008</v>
      </c>
    </row>
    <row r="559" spans="1:10" x14ac:dyDescent="0.3">
      <c r="A559" s="1" t="s">
        <v>525</v>
      </c>
      <c r="B559" s="1" t="s">
        <v>582</v>
      </c>
      <c r="C559" s="1" t="s">
        <v>16</v>
      </c>
      <c r="D559" s="1" t="s">
        <v>17</v>
      </c>
      <c r="E559" s="1" t="s">
        <v>18</v>
      </c>
      <c r="F559" s="1" t="s">
        <v>29</v>
      </c>
      <c r="G559" s="1">
        <v>27.38</v>
      </c>
      <c r="H559" s="1">
        <v>6</v>
      </c>
      <c r="I559" s="1">
        <f t="shared" si="18"/>
        <v>8.2140000000000004</v>
      </c>
      <c r="J559">
        <f t="shared" si="17"/>
        <v>172.494</v>
      </c>
    </row>
    <row r="560" spans="1:10" x14ac:dyDescent="0.3">
      <c r="A560" s="1" t="s">
        <v>525</v>
      </c>
      <c r="B560" s="1" t="s">
        <v>583</v>
      </c>
      <c r="C560" s="1" t="s">
        <v>11</v>
      </c>
      <c r="D560" s="1" t="s">
        <v>12</v>
      </c>
      <c r="E560" s="1" t="s">
        <v>18</v>
      </c>
      <c r="F560" s="1" t="s">
        <v>33</v>
      </c>
      <c r="G560" s="1">
        <v>62.13</v>
      </c>
      <c r="H560" s="1">
        <v>6</v>
      </c>
      <c r="I560" s="1">
        <f t="shared" si="18"/>
        <v>18.639000000000003</v>
      </c>
      <c r="J560">
        <f t="shared" si="17"/>
        <v>391.41900000000004</v>
      </c>
    </row>
    <row r="561" spans="1:10" x14ac:dyDescent="0.3">
      <c r="A561" s="1" t="s">
        <v>525</v>
      </c>
      <c r="B561" s="1" t="s">
        <v>584</v>
      </c>
      <c r="C561" s="1" t="s">
        <v>16</v>
      </c>
      <c r="D561" s="1" t="s">
        <v>17</v>
      </c>
      <c r="E561" s="1" t="s">
        <v>13</v>
      </c>
      <c r="F561" s="1" t="s">
        <v>19</v>
      </c>
      <c r="G561" s="1">
        <v>81.97</v>
      </c>
      <c r="H561" s="1">
        <v>10</v>
      </c>
      <c r="I561" s="1">
        <f t="shared" si="18"/>
        <v>40.985000000000007</v>
      </c>
      <c r="J561">
        <f t="shared" si="17"/>
        <v>860.68500000000006</v>
      </c>
    </row>
    <row r="562" spans="1:10" x14ac:dyDescent="0.3">
      <c r="A562" s="1" t="s">
        <v>525</v>
      </c>
      <c r="B562" s="1" t="s">
        <v>585</v>
      </c>
      <c r="C562" s="1" t="s">
        <v>11</v>
      </c>
      <c r="D562" s="1" t="s">
        <v>12</v>
      </c>
      <c r="E562" s="1" t="s">
        <v>13</v>
      </c>
      <c r="F562" s="1" t="s">
        <v>22</v>
      </c>
      <c r="G562" s="1">
        <v>58.07</v>
      </c>
      <c r="H562" s="1">
        <v>9</v>
      </c>
      <c r="I562" s="1">
        <f t="shared" si="18"/>
        <v>26.131500000000003</v>
      </c>
      <c r="J562">
        <f t="shared" si="17"/>
        <v>548.76149999999996</v>
      </c>
    </row>
    <row r="563" spans="1:10" x14ac:dyDescent="0.3">
      <c r="A563" s="1" t="s">
        <v>525</v>
      </c>
      <c r="B563" s="1" t="s">
        <v>586</v>
      </c>
      <c r="C563" s="1" t="s">
        <v>25</v>
      </c>
      <c r="D563" s="1" t="s">
        <v>26</v>
      </c>
      <c r="E563" s="1" t="s">
        <v>13</v>
      </c>
      <c r="F563" s="1" t="s">
        <v>29</v>
      </c>
      <c r="G563" s="1">
        <v>21.94</v>
      </c>
      <c r="H563" s="1">
        <v>5</v>
      </c>
      <c r="I563" s="1">
        <f t="shared" si="18"/>
        <v>5.4850000000000003</v>
      </c>
      <c r="J563">
        <f t="shared" si="17"/>
        <v>115.185</v>
      </c>
    </row>
    <row r="564" spans="1:10" x14ac:dyDescent="0.3">
      <c r="A564" s="1" t="s">
        <v>525</v>
      </c>
      <c r="B564" s="1" t="s">
        <v>587</v>
      </c>
      <c r="C564" s="1" t="s">
        <v>25</v>
      </c>
      <c r="D564" s="1" t="s">
        <v>26</v>
      </c>
      <c r="E564" s="1" t="s">
        <v>13</v>
      </c>
      <c r="F564" s="1" t="s">
        <v>29</v>
      </c>
      <c r="G564" s="1">
        <v>51.36</v>
      </c>
      <c r="H564" s="1">
        <v>1</v>
      </c>
      <c r="I564" s="1">
        <f t="shared" si="18"/>
        <v>2.5680000000000001</v>
      </c>
      <c r="J564">
        <f t="shared" si="17"/>
        <v>53.927999999999997</v>
      </c>
    </row>
    <row r="565" spans="1:10" x14ac:dyDescent="0.3">
      <c r="A565" s="1" t="s">
        <v>525</v>
      </c>
      <c r="B565" s="1" t="s">
        <v>588</v>
      </c>
      <c r="C565" s="1" t="s">
        <v>25</v>
      </c>
      <c r="D565" s="1" t="s">
        <v>26</v>
      </c>
      <c r="E565" s="1" t="s">
        <v>18</v>
      </c>
      <c r="F565" s="1" t="s">
        <v>22</v>
      </c>
      <c r="G565" s="1">
        <v>53.44</v>
      </c>
      <c r="H565" s="1">
        <v>2</v>
      </c>
      <c r="I565" s="1">
        <f t="shared" si="18"/>
        <v>5.3440000000000003</v>
      </c>
      <c r="J565">
        <f t="shared" si="17"/>
        <v>112.22399999999999</v>
      </c>
    </row>
    <row r="566" spans="1:10" x14ac:dyDescent="0.3">
      <c r="A566" s="1" t="s">
        <v>525</v>
      </c>
      <c r="B566" s="1" t="s">
        <v>589</v>
      </c>
      <c r="C566" s="1" t="s">
        <v>16</v>
      </c>
      <c r="D566" s="1" t="s">
        <v>17</v>
      </c>
      <c r="E566" s="1" t="s">
        <v>13</v>
      </c>
      <c r="F566" s="1" t="s">
        <v>33</v>
      </c>
      <c r="G566" s="1">
        <v>57.12</v>
      </c>
      <c r="H566" s="1">
        <v>7</v>
      </c>
      <c r="I566" s="1">
        <f t="shared" si="18"/>
        <v>19.992000000000001</v>
      </c>
      <c r="J566">
        <f t="shared" si="17"/>
        <v>419.83199999999999</v>
      </c>
    </row>
    <row r="567" spans="1:10" x14ac:dyDescent="0.3">
      <c r="A567" s="1" t="s">
        <v>525</v>
      </c>
      <c r="B567" s="1" t="s">
        <v>590</v>
      </c>
      <c r="C567" s="1" t="s">
        <v>25</v>
      </c>
      <c r="D567" s="1" t="s">
        <v>26</v>
      </c>
      <c r="E567" s="1" t="s">
        <v>13</v>
      </c>
      <c r="F567" s="1" t="s">
        <v>33</v>
      </c>
      <c r="G567" s="1">
        <v>99.96</v>
      </c>
      <c r="H567" s="1">
        <v>9</v>
      </c>
      <c r="I567" s="1">
        <f t="shared" si="18"/>
        <v>44.981999999999999</v>
      </c>
      <c r="J567">
        <f t="shared" si="17"/>
        <v>944.62199999999996</v>
      </c>
    </row>
    <row r="568" spans="1:10" x14ac:dyDescent="0.3">
      <c r="A568" s="1" t="s">
        <v>525</v>
      </c>
      <c r="B568" s="1" t="s">
        <v>591</v>
      </c>
      <c r="C568" s="1" t="s">
        <v>16</v>
      </c>
      <c r="D568" s="1" t="s">
        <v>17</v>
      </c>
      <c r="E568" s="1" t="s">
        <v>13</v>
      </c>
      <c r="F568" s="1" t="s">
        <v>22</v>
      </c>
      <c r="G568" s="1">
        <v>63.91</v>
      </c>
      <c r="H568" s="1">
        <v>8</v>
      </c>
      <c r="I568" s="1">
        <f t="shared" si="18"/>
        <v>25.564</v>
      </c>
      <c r="J568">
        <f t="shared" si="17"/>
        <v>536.84399999999994</v>
      </c>
    </row>
    <row r="569" spans="1:10" x14ac:dyDescent="0.3">
      <c r="A569" s="1" t="s">
        <v>525</v>
      </c>
      <c r="B569" s="1" t="s">
        <v>592</v>
      </c>
      <c r="C569" s="1" t="s">
        <v>25</v>
      </c>
      <c r="D569" s="1" t="s">
        <v>26</v>
      </c>
      <c r="E569" s="1" t="s">
        <v>13</v>
      </c>
      <c r="F569" s="1" t="s">
        <v>19</v>
      </c>
      <c r="G569" s="1">
        <v>87.45</v>
      </c>
      <c r="H569" s="1">
        <v>6</v>
      </c>
      <c r="I569" s="1">
        <f t="shared" si="18"/>
        <v>26.235000000000003</v>
      </c>
      <c r="J569">
        <f t="shared" si="17"/>
        <v>550.93500000000006</v>
      </c>
    </row>
    <row r="570" spans="1:10" x14ac:dyDescent="0.3">
      <c r="A570" s="1" t="s">
        <v>525</v>
      </c>
      <c r="B570" s="1" t="s">
        <v>593</v>
      </c>
      <c r="C570" s="1" t="s">
        <v>16</v>
      </c>
      <c r="D570" s="1" t="s">
        <v>17</v>
      </c>
      <c r="E570" s="1" t="s">
        <v>18</v>
      </c>
      <c r="F570" s="1" t="s">
        <v>29</v>
      </c>
      <c r="G570" s="1">
        <v>90.22</v>
      </c>
      <c r="H570" s="1">
        <v>3</v>
      </c>
      <c r="I570" s="1">
        <f t="shared" si="18"/>
        <v>13.532999999999999</v>
      </c>
      <c r="J570">
        <f t="shared" si="17"/>
        <v>284.19299999999998</v>
      </c>
    </row>
    <row r="571" spans="1:10" x14ac:dyDescent="0.3">
      <c r="A571" s="1" t="s">
        <v>525</v>
      </c>
      <c r="B571" s="1" t="s">
        <v>594</v>
      </c>
      <c r="C571" s="1" t="s">
        <v>25</v>
      </c>
      <c r="D571" s="1" t="s">
        <v>26</v>
      </c>
      <c r="E571" s="1" t="s">
        <v>18</v>
      </c>
      <c r="F571" s="1" t="s">
        <v>33</v>
      </c>
      <c r="G571" s="1">
        <v>51.91</v>
      </c>
      <c r="H571" s="1">
        <v>10</v>
      </c>
      <c r="I571" s="1">
        <f t="shared" si="18"/>
        <v>25.954999999999998</v>
      </c>
      <c r="J571">
        <f t="shared" si="17"/>
        <v>545.05499999999995</v>
      </c>
    </row>
    <row r="572" spans="1:10" x14ac:dyDescent="0.3">
      <c r="A572" s="1" t="s">
        <v>525</v>
      </c>
      <c r="B572" s="1" t="s">
        <v>595</v>
      </c>
      <c r="C572" s="1" t="s">
        <v>11</v>
      </c>
      <c r="D572" s="1" t="s">
        <v>12</v>
      </c>
      <c r="E572" s="1" t="s">
        <v>18</v>
      </c>
      <c r="F572" s="1" t="s">
        <v>33</v>
      </c>
      <c r="G572" s="1">
        <v>72.5</v>
      </c>
      <c r="H572" s="1">
        <v>8</v>
      </c>
      <c r="I572" s="1">
        <f t="shared" si="18"/>
        <v>29</v>
      </c>
      <c r="J572">
        <f t="shared" si="17"/>
        <v>609</v>
      </c>
    </row>
    <row r="573" spans="1:10" x14ac:dyDescent="0.3">
      <c r="A573" s="1" t="s">
        <v>525</v>
      </c>
      <c r="B573" s="1" t="s">
        <v>596</v>
      </c>
      <c r="C573" s="1" t="s">
        <v>16</v>
      </c>
      <c r="D573" s="1" t="s">
        <v>17</v>
      </c>
      <c r="E573" s="1" t="s">
        <v>13</v>
      </c>
      <c r="F573" s="1" t="s">
        <v>14</v>
      </c>
      <c r="G573" s="1">
        <v>90.5</v>
      </c>
      <c r="H573" s="1">
        <v>10</v>
      </c>
      <c r="I573" s="1">
        <f t="shared" si="18"/>
        <v>45.25</v>
      </c>
      <c r="J573">
        <f t="shared" si="17"/>
        <v>950.25</v>
      </c>
    </row>
    <row r="574" spans="1:10" x14ac:dyDescent="0.3">
      <c r="A574" s="1" t="s">
        <v>525</v>
      </c>
      <c r="B574" s="1" t="s">
        <v>597</v>
      </c>
      <c r="C574" s="1" t="s">
        <v>16</v>
      </c>
      <c r="D574" s="1" t="s">
        <v>17</v>
      </c>
      <c r="E574" s="1" t="s">
        <v>18</v>
      </c>
      <c r="F574" s="1" t="s">
        <v>14</v>
      </c>
      <c r="G574" s="1">
        <v>66.14</v>
      </c>
      <c r="H574" s="1">
        <v>4</v>
      </c>
      <c r="I574" s="1">
        <f t="shared" si="18"/>
        <v>13.228000000000002</v>
      </c>
      <c r="J574">
        <f t="shared" si="17"/>
        <v>277.78800000000001</v>
      </c>
    </row>
    <row r="575" spans="1:10" x14ac:dyDescent="0.3">
      <c r="A575" s="1" t="s">
        <v>525</v>
      </c>
      <c r="B575" s="1" t="s">
        <v>598</v>
      </c>
      <c r="C575" s="1" t="s">
        <v>25</v>
      </c>
      <c r="D575" s="1" t="s">
        <v>26</v>
      </c>
      <c r="E575" s="1" t="s">
        <v>13</v>
      </c>
      <c r="F575" s="1" t="s">
        <v>22</v>
      </c>
      <c r="G575" s="1">
        <v>71.86</v>
      </c>
      <c r="H575" s="1">
        <v>8</v>
      </c>
      <c r="I575" s="1">
        <f t="shared" si="18"/>
        <v>28.744</v>
      </c>
      <c r="J575">
        <f t="shared" si="17"/>
        <v>603.62400000000002</v>
      </c>
    </row>
    <row r="576" spans="1:10" x14ac:dyDescent="0.3">
      <c r="A576" s="1" t="s">
        <v>525</v>
      </c>
      <c r="B576" s="1" t="s">
        <v>599</v>
      </c>
      <c r="C576" s="1" t="s">
        <v>11</v>
      </c>
      <c r="D576" s="1" t="s">
        <v>12</v>
      </c>
      <c r="E576" s="1" t="s">
        <v>18</v>
      </c>
      <c r="F576" s="1" t="s">
        <v>14</v>
      </c>
      <c r="G576" s="1">
        <v>32.46</v>
      </c>
      <c r="H576" s="1">
        <v>8</v>
      </c>
      <c r="I576" s="1">
        <f t="shared" si="18"/>
        <v>12.984000000000002</v>
      </c>
      <c r="J576">
        <f t="shared" si="17"/>
        <v>272.66399999999999</v>
      </c>
    </row>
    <row r="577" spans="1:10" x14ac:dyDescent="0.3">
      <c r="A577" s="1" t="s">
        <v>525</v>
      </c>
      <c r="B577" s="1" t="s">
        <v>600</v>
      </c>
      <c r="C577" s="1" t="s">
        <v>16</v>
      </c>
      <c r="D577" s="1" t="s">
        <v>17</v>
      </c>
      <c r="E577" s="1" t="s">
        <v>13</v>
      </c>
      <c r="F577" s="1" t="s">
        <v>33</v>
      </c>
      <c r="G577" s="1">
        <v>34.56</v>
      </c>
      <c r="H577" s="1">
        <v>7</v>
      </c>
      <c r="I577" s="1">
        <f t="shared" si="18"/>
        <v>12.096000000000002</v>
      </c>
      <c r="J577">
        <f t="shared" si="17"/>
        <v>254.01600000000002</v>
      </c>
    </row>
    <row r="578" spans="1:10" x14ac:dyDescent="0.3">
      <c r="A578" s="1" t="s">
        <v>525</v>
      </c>
      <c r="B578" s="1" t="s">
        <v>601</v>
      </c>
      <c r="C578" s="1" t="s">
        <v>11</v>
      </c>
      <c r="D578" s="1" t="s">
        <v>12</v>
      </c>
      <c r="E578" s="1" t="s">
        <v>18</v>
      </c>
      <c r="F578" s="1" t="s">
        <v>29</v>
      </c>
      <c r="G578" s="1">
        <v>83.24</v>
      </c>
      <c r="H578" s="1">
        <v>9</v>
      </c>
      <c r="I578" s="1">
        <f t="shared" si="18"/>
        <v>37.457999999999998</v>
      </c>
      <c r="J578">
        <f t="shared" si="17"/>
        <v>786.61799999999994</v>
      </c>
    </row>
    <row r="579" spans="1:10" x14ac:dyDescent="0.3">
      <c r="A579" s="1" t="s">
        <v>525</v>
      </c>
      <c r="B579" s="1" t="s">
        <v>602</v>
      </c>
      <c r="C579" s="1" t="s">
        <v>11</v>
      </c>
      <c r="D579" s="1" t="s">
        <v>12</v>
      </c>
      <c r="E579" s="1" t="s">
        <v>13</v>
      </c>
      <c r="F579" s="1" t="s">
        <v>27</v>
      </c>
      <c r="G579" s="1">
        <v>92.29</v>
      </c>
      <c r="H579" s="1">
        <v>5</v>
      </c>
      <c r="I579" s="1">
        <f t="shared" si="18"/>
        <v>23.072500000000005</v>
      </c>
      <c r="J579">
        <f t="shared" ref="J579:J642" si="19">(G579*H579)+I579</f>
        <v>484.52250000000004</v>
      </c>
    </row>
    <row r="580" spans="1:10" x14ac:dyDescent="0.3">
      <c r="A580" s="1" t="s">
        <v>525</v>
      </c>
      <c r="B580" s="1" t="s">
        <v>603</v>
      </c>
      <c r="C580" s="1" t="s">
        <v>25</v>
      </c>
      <c r="D580" s="1" t="s">
        <v>26</v>
      </c>
      <c r="E580" s="1" t="s">
        <v>13</v>
      </c>
      <c r="F580" s="1" t="s">
        <v>19</v>
      </c>
      <c r="G580" s="1">
        <v>72.17</v>
      </c>
      <c r="H580" s="1">
        <v>1</v>
      </c>
      <c r="I580" s="1">
        <f t="shared" si="18"/>
        <v>3.6085000000000003</v>
      </c>
      <c r="J580">
        <f t="shared" si="19"/>
        <v>75.778500000000008</v>
      </c>
    </row>
    <row r="581" spans="1:10" x14ac:dyDescent="0.3">
      <c r="A581" s="1" t="s">
        <v>525</v>
      </c>
      <c r="B581" s="1" t="s">
        <v>604</v>
      </c>
      <c r="C581" s="1" t="s">
        <v>25</v>
      </c>
      <c r="D581" s="1" t="s">
        <v>26</v>
      </c>
      <c r="E581" s="1" t="s">
        <v>18</v>
      </c>
      <c r="F581" s="1" t="s">
        <v>22</v>
      </c>
      <c r="G581" s="1">
        <v>50.28</v>
      </c>
      <c r="H581" s="1">
        <v>5</v>
      </c>
      <c r="I581" s="1">
        <f t="shared" si="18"/>
        <v>12.57</v>
      </c>
      <c r="J581">
        <f t="shared" si="19"/>
        <v>263.97000000000003</v>
      </c>
    </row>
    <row r="582" spans="1:10" x14ac:dyDescent="0.3">
      <c r="A582" s="1" t="s">
        <v>525</v>
      </c>
      <c r="B582" s="1" t="s">
        <v>605</v>
      </c>
      <c r="C582" s="1" t="s">
        <v>25</v>
      </c>
      <c r="D582" s="1" t="s">
        <v>26</v>
      </c>
      <c r="E582" s="1" t="s">
        <v>13</v>
      </c>
      <c r="F582" s="1" t="s">
        <v>14</v>
      </c>
      <c r="G582" s="1">
        <v>97.22</v>
      </c>
      <c r="H582" s="1">
        <v>9</v>
      </c>
      <c r="I582" s="1">
        <f t="shared" si="18"/>
        <v>43.749000000000002</v>
      </c>
      <c r="J582">
        <f t="shared" si="19"/>
        <v>918.72900000000004</v>
      </c>
    </row>
    <row r="583" spans="1:10" x14ac:dyDescent="0.3">
      <c r="A583" s="1" t="s">
        <v>525</v>
      </c>
      <c r="B583" s="1" t="s">
        <v>606</v>
      </c>
      <c r="C583" s="1" t="s">
        <v>25</v>
      </c>
      <c r="D583" s="1" t="s">
        <v>26</v>
      </c>
      <c r="E583" s="1" t="s">
        <v>18</v>
      </c>
      <c r="F583" s="1" t="s">
        <v>33</v>
      </c>
      <c r="G583" s="1">
        <v>93.39</v>
      </c>
      <c r="H583" s="1">
        <v>6</v>
      </c>
      <c r="I583" s="1">
        <f t="shared" si="18"/>
        <v>28.017000000000003</v>
      </c>
      <c r="J583">
        <f t="shared" si="19"/>
        <v>588.35700000000008</v>
      </c>
    </row>
    <row r="584" spans="1:10" x14ac:dyDescent="0.3">
      <c r="A584" s="1" t="s">
        <v>525</v>
      </c>
      <c r="B584" s="1" t="s">
        <v>607</v>
      </c>
      <c r="C584" s="1" t="s">
        <v>11</v>
      </c>
      <c r="D584" s="1" t="s">
        <v>12</v>
      </c>
      <c r="E584" s="1" t="s">
        <v>18</v>
      </c>
      <c r="F584" s="1" t="s">
        <v>33</v>
      </c>
      <c r="G584" s="1">
        <v>63.69</v>
      </c>
      <c r="H584" s="1">
        <v>1</v>
      </c>
      <c r="I584" s="1">
        <f t="shared" si="18"/>
        <v>3.1844999999999999</v>
      </c>
      <c r="J584">
        <f t="shared" si="19"/>
        <v>66.874499999999998</v>
      </c>
    </row>
    <row r="585" spans="1:10" x14ac:dyDescent="0.3">
      <c r="A585" s="1" t="s">
        <v>525</v>
      </c>
      <c r="B585" s="1" t="s">
        <v>608</v>
      </c>
      <c r="C585" s="1" t="s">
        <v>11</v>
      </c>
      <c r="D585" s="1" t="s">
        <v>12</v>
      </c>
      <c r="E585" s="1" t="s">
        <v>18</v>
      </c>
      <c r="F585" s="1" t="s">
        <v>27</v>
      </c>
      <c r="G585" s="1">
        <v>45.79</v>
      </c>
      <c r="H585" s="1">
        <v>7</v>
      </c>
      <c r="I585" s="1">
        <f t="shared" si="18"/>
        <v>16.026499999999999</v>
      </c>
      <c r="J585">
        <f t="shared" si="19"/>
        <v>336.55649999999997</v>
      </c>
    </row>
    <row r="586" spans="1:10" x14ac:dyDescent="0.3">
      <c r="A586" s="1" t="s">
        <v>525</v>
      </c>
      <c r="B586" s="1" t="s">
        <v>609</v>
      </c>
      <c r="C586" s="1" t="s">
        <v>16</v>
      </c>
      <c r="D586" s="1" t="s">
        <v>17</v>
      </c>
      <c r="E586" s="1" t="s">
        <v>18</v>
      </c>
      <c r="F586" s="1" t="s">
        <v>33</v>
      </c>
      <c r="G586" s="1">
        <v>76.400000000000006</v>
      </c>
      <c r="H586" s="1">
        <v>2</v>
      </c>
      <c r="I586" s="1">
        <f t="shared" si="18"/>
        <v>7.6400000000000006</v>
      </c>
      <c r="J586">
        <f t="shared" si="19"/>
        <v>160.44</v>
      </c>
    </row>
    <row r="587" spans="1:10" x14ac:dyDescent="0.3">
      <c r="A587" s="1" t="s">
        <v>525</v>
      </c>
      <c r="B587" s="1" t="s">
        <v>610</v>
      </c>
      <c r="C587" s="1" t="s">
        <v>25</v>
      </c>
      <c r="D587" s="1" t="s">
        <v>26</v>
      </c>
      <c r="E587" s="1" t="s">
        <v>18</v>
      </c>
      <c r="F587" s="1" t="s">
        <v>27</v>
      </c>
      <c r="G587" s="1">
        <v>39.9</v>
      </c>
      <c r="H587" s="1">
        <v>10</v>
      </c>
      <c r="I587" s="1">
        <f t="shared" si="18"/>
        <v>19.950000000000003</v>
      </c>
      <c r="J587">
        <f t="shared" si="19"/>
        <v>418.95</v>
      </c>
    </row>
    <row r="588" spans="1:10" x14ac:dyDescent="0.3">
      <c r="A588" s="1" t="s">
        <v>525</v>
      </c>
      <c r="B588" s="1" t="s">
        <v>611</v>
      </c>
      <c r="C588" s="1" t="s">
        <v>25</v>
      </c>
      <c r="D588" s="1" t="s">
        <v>26</v>
      </c>
      <c r="E588" s="1" t="s">
        <v>13</v>
      </c>
      <c r="F588" s="1" t="s">
        <v>14</v>
      </c>
      <c r="G588" s="1">
        <v>42.57</v>
      </c>
      <c r="H588" s="1">
        <v>8</v>
      </c>
      <c r="I588" s="1">
        <f t="shared" si="18"/>
        <v>17.028000000000002</v>
      </c>
      <c r="J588">
        <f t="shared" si="19"/>
        <v>357.58800000000002</v>
      </c>
    </row>
    <row r="589" spans="1:10" x14ac:dyDescent="0.3">
      <c r="A589" s="1" t="s">
        <v>525</v>
      </c>
      <c r="B589" s="1" t="s">
        <v>612</v>
      </c>
      <c r="C589" s="1" t="s">
        <v>16</v>
      </c>
      <c r="D589" s="1" t="s">
        <v>17</v>
      </c>
      <c r="E589" s="1" t="s">
        <v>18</v>
      </c>
      <c r="F589" s="1" t="s">
        <v>22</v>
      </c>
      <c r="G589" s="1">
        <v>95.58</v>
      </c>
      <c r="H589" s="1">
        <v>10</v>
      </c>
      <c r="I589" s="1">
        <f t="shared" si="18"/>
        <v>47.79</v>
      </c>
      <c r="J589">
        <f t="shared" si="19"/>
        <v>1003.5899999999999</v>
      </c>
    </row>
    <row r="590" spans="1:10" x14ac:dyDescent="0.3">
      <c r="A590" s="1" t="s">
        <v>525</v>
      </c>
      <c r="B590" s="1" t="s">
        <v>613</v>
      </c>
      <c r="C590" s="1" t="s">
        <v>11</v>
      </c>
      <c r="D590" s="1" t="s">
        <v>12</v>
      </c>
      <c r="E590" s="1" t="s">
        <v>18</v>
      </c>
      <c r="F590" s="1" t="s">
        <v>29</v>
      </c>
      <c r="G590" s="1">
        <v>98.98</v>
      </c>
      <c r="H590" s="1">
        <v>10</v>
      </c>
      <c r="I590" s="1">
        <f t="shared" si="18"/>
        <v>49.490000000000009</v>
      </c>
      <c r="J590">
        <f t="shared" si="19"/>
        <v>1039.29</v>
      </c>
    </row>
    <row r="591" spans="1:10" x14ac:dyDescent="0.3">
      <c r="A591" s="1" t="s">
        <v>525</v>
      </c>
      <c r="B591" s="1" t="s">
        <v>614</v>
      </c>
      <c r="C591" s="1" t="s">
        <v>11</v>
      </c>
      <c r="D591" s="1" t="s">
        <v>12</v>
      </c>
      <c r="E591" s="1" t="s">
        <v>18</v>
      </c>
      <c r="F591" s="1" t="s">
        <v>27</v>
      </c>
      <c r="G591" s="1">
        <v>51.28</v>
      </c>
      <c r="H591" s="1">
        <v>6</v>
      </c>
      <c r="I591" s="1">
        <f t="shared" si="18"/>
        <v>15.384</v>
      </c>
      <c r="J591">
        <f t="shared" si="19"/>
        <v>323.06400000000002</v>
      </c>
    </row>
    <row r="592" spans="1:10" x14ac:dyDescent="0.3">
      <c r="A592" s="1" t="s">
        <v>525</v>
      </c>
      <c r="B592" s="1" t="s">
        <v>615</v>
      </c>
      <c r="C592" s="1" t="s">
        <v>11</v>
      </c>
      <c r="D592" s="1" t="s">
        <v>12</v>
      </c>
      <c r="E592" s="1" t="s">
        <v>13</v>
      </c>
      <c r="F592" s="1" t="s">
        <v>33</v>
      </c>
      <c r="G592" s="1">
        <v>69.52</v>
      </c>
      <c r="H592" s="1">
        <v>7</v>
      </c>
      <c r="I592" s="1">
        <f t="shared" si="18"/>
        <v>24.332000000000001</v>
      </c>
      <c r="J592">
        <f t="shared" si="19"/>
        <v>510.97199999999998</v>
      </c>
    </row>
    <row r="593" spans="1:10" x14ac:dyDescent="0.3">
      <c r="A593" s="1" t="s">
        <v>525</v>
      </c>
      <c r="B593" s="1" t="s">
        <v>616</v>
      </c>
      <c r="C593" s="1" t="s">
        <v>11</v>
      </c>
      <c r="D593" s="1" t="s">
        <v>12</v>
      </c>
      <c r="E593" s="1" t="s">
        <v>18</v>
      </c>
      <c r="F593" s="1" t="s">
        <v>14</v>
      </c>
      <c r="G593" s="1">
        <v>70.010000000000005</v>
      </c>
      <c r="H593" s="1">
        <v>5</v>
      </c>
      <c r="I593" s="1">
        <f t="shared" si="18"/>
        <v>17.502500000000001</v>
      </c>
      <c r="J593">
        <f t="shared" si="19"/>
        <v>367.55250000000001</v>
      </c>
    </row>
    <row r="594" spans="1:10" x14ac:dyDescent="0.3">
      <c r="A594" s="1" t="s">
        <v>525</v>
      </c>
      <c r="B594" s="1" t="s">
        <v>617</v>
      </c>
      <c r="C594" s="1" t="s">
        <v>25</v>
      </c>
      <c r="D594" s="1" t="s">
        <v>26</v>
      </c>
      <c r="E594" s="1" t="s">
        <v>13</v>
      </c>
      <c r="F594" s="1" t="s">
        <v>27</v>
      </c>
      <c r="G594" s="1">
        <v>80.05</v>
      </c>
      <c r="H594" s="1">
        <v>5</v>
      </c>
      <c r="I594" s="1">
        <f t="shared" si="18"/>
        <v>20.012500000000003</v>
      </c>
      <c r="J594">
        <f t="shared" si="19"/>
        <v>420.26249999999999</v>
      </c>
    </row>
    <row r="595" spans="1:10" x14ac:dyDescent="0.3">
      <c r="A595" s="1" t="s">
        <v>525</v>
      </c>
      <c r="B595" s="1" t="s">
        <v>618</v>
      </c>
      <c r="C595" s="1" t="s">
        <v>16</v>
      </c>
      <c r="D595" s="1" t="s">
        <v>17</v>
      </c>
      <c r="E595" s="1" t="s">
        <v>18</v>
      </c>
      <c r="F595" s="1" t="s">
        <v>19</v>
      </c>
      <c r="G595" s="1">
        <v>20.85</v>
      </c>
      <c r="H595" s="1">
        <v>8</v>
      </c>
      <c r="I595" s="1">
        <f t="shared" si="18"/>
        <v>8.3400000000000016</v>
      </c>
      <c r="J595">
        <f t="shared" si="19"/>
        <v>175.14000000000001</v>
      </c>
    </row>
    <row r="596" spans="1:10" x14ac:dyDescent="0.3">
      <c r="A596" s="1" t="s">
        <v>525</v>
      </c>
      <c r="B596" s="1" t="s">
        <v>619</v>
      </c>
      <c r="C596" s="1" t="s">
        <v>25</v>
      </c>
      <c r="D596" s="1" t="s">
        <v>26</v>
      </c>
      <c r="E596" s="1" t="s">
        <v>13</v>
      </c>
      <c r="F596" s="1" t="s">
        <v>19</v>
      </c>
      <c r="G596" s="1">
        <v>52.89</v>
      </c>
      <c r="H596" s="1">
        <v>6</v>
      </c>
      <c r="I596" s="1">
        <f t="shared" si="18"/>
        <v>15.867000000000003</v>
      </c>
      <c r="J596">
        <f t="shared" si="19"/>
        <v>333.20700000000005</v>
      </c>
    </row>
    <row r="597" spans="1:10" x14ac:dyDescent="0.3">
      <c r="A597" s="1" t="s">
        <v>525</v>
      </c>
      <c r="B597" s="1" t="s">
        <v>620</v>
      </c>
      <c r="C597" s="1" t="s">
        <v>25</v>
      </c>
      <c r="D597" s="1" t="s">
        <v>26</v>
      </c>
      <c r="E597" s="1" t="s">
        <v>18</v>
      </c>
      <c r="F597" s="1" t="s">
        <v>27</v>
      </c>
      <c r="G597" s="1">
        <v>19.79</v>
      </c>
      <c r="H597" s="1">
        <v>8</v>
      </c>
      <c r="I597" s="1">
        <f t="shared" si="18"/>
        <v>7.9160000000000004</v>
      </c>
      <c r="J597">
        <f t="shared" si="19"/>
        <v>166.23599999999999</v>
      </c>
    </row>
    <row r="598" spans="1:10" x14ac:dyDescent="0.3">
      <c r="A598" s="1" t="s">
        <v>525</v>
      </c>
      <c r="B598" s="1" t="s">
        <v>621</v>
      </c>
      <c r="C598" s="1" t="s">
        <v>11</v>
      </c>
      <c r="D598" s="1" t="s">
        <v>12</v>
      </c>
      <c r="E598" s="1" t="s">
        <v>13</v>
      </c>
      <c r="F598" s="1" t="s">
        <v>22</v>
      </c>
      <c r="G598" s="1">
        <v>33.840000000000003</v>
      </c>
      <c r="H598" s="1">
        <v>9</v>
      </c>
      <c r="I598" s="1">
        <f t="shared" si="18"/>
        <v>15.228000000000003</v>
      </c>
      <c r="J598">
        <f t="shared" si="19"/>
        <v>319.78800000000007</v>
      </c>
    </row>
    <row r="599" spans="1:10" x14ac:dyDescent="0.3">
      <c r="A599" s="1" t="s">
        <v>525</v>
      </c>
      <c r="B599" s="1" t="s">
        <v>622</v>
      </c>
      <c r="C599" s="1" t="s">
        <v>11</v>
      </c>
      <c r="D599" s="1" t="s">
        <v>12</v>
      </c>
      <c r="E599" s="1" t="s">
        <v>13</v>
      </c>
      <c r="F599" s="1" t="s">
        <v>27</v>
      </c>
      <c r="G599" s="1">
        <v>22.17</v>
      </c>
      <c r="H599" s="1">
        <v>8</v>
      </c>
      <c r="I599" s="1">
        <f t="shared" si="18"/>
        <v>8.8680000000000003</v>
      </c>
      <c r="J599">
        <f t="shared" si="19"/>
        <v>186.22800000000001</v>
      </c>
    </row>
    <row r="600" spans="1:10" x14ac:dyDescent="0.3">
      <c r="A600" s="1" t="s">
        <v>525</v>
      </c>
      <c r="B600" s="1" t="s">
        <v>623</v>
      </c>
      <c r="C600" s="1" t="s">
        <v>11</v>
      </c>
      <c r="D600" s="1" t="s">
        <v>12</v>
      </c>
      <c r="E600" s="1" t="s">
        <v>18</v>
      </c>
      <c r="F600" s="1" t="s">
        <v>27</v>
      </c>
      <c r="G600" s="1">
        <v>73.88</v>
      </c>
      <c r="H600" s="1">
        <v>6</v>
      </c>
      <c r="I600" s="1">
        <f t="shared" si="18"/>
        <v>22.164000000000001</v>
      </c>
      <c r="J600">
        <f t="shared" si="19"/>
        <v>465.44399999999996</v>
      </c>
    </row>
    <row r="601" spans="1:10" x14ac:dyDescent="0.3">
      <c r="A601" s="1" t="s">
        <v>525</v>
      </c>
      <c r="B601" s="1" t="s">
        <v>624</v>
      </c>
      <c r="C601" s="1" t="s">
        <v>16</v>
      </c>
      <c r="D601" s="1" t="s">
        <v>17</v>
      </c>
      <c r="E601" s="1" t="s">
        <v>13</v>
      </c>
      <c r="F601" s="1" t="s">
        <v>14</v>
      </c>
      <c r="G601" s="1">
        <v>86.8</v>
      </c>
      <c r="H601" s="1">
        <v>3</v>
      </c>
      <c r="I601" s="1">
        <f t="shared" ref="I601:I664" si="20">(G601*H601)*5%</f>
        <v>13.02</v>
      </c>
      <c r="J601">
        <f t="shared" si="19"/>
        <v>273.41999999999996</v>
      </c>
    </row>
    <row r="602" spans="1:10" x14ac:dyDescent="0.3">
      <c r="A602" s="1" t="s">
        <v>525</v>
      </c>
      <c r="B602" s="1" t="s">
        <v>625</v>
      </c>
      <c r="C602" s="1" t="s">
        <v>16</v>
      </c>
      <c r="D602" s="1" t="s">
        <v>17</v>
      </c>
      <c r="E602" s="1" t="s">
        <v>18</v>
      </c>
      <c r="F602" s="1" t="s">
        <v>29</v>
      </c>
      <c r="G602" s="1">
        <v>64.260000000000005</v>
      </c>
      <c r="H602" s="1">
        <v>7</v>
      </c>
      <c r="I602" s="1">
        <f t="shared" si="20"/>
        <v>22.491000000000003</v>
      </c>
      <c r="J602">
        <f t="shared" si="19"/>
        <v>472.31100000000004</v>
      </c>
    </row>
    <row r="603" spans="1:10" x14ac:dyDescent="0.3">
      <c r="A603" s="1" t="s">
        <v>525</v>
      </c>
      <c r="B603" s="1" t="s">
        <v>626</v>
      </c>
      <c r="C603" s="1" t="s">
        <v>16</v>
      </c>
      <c r="D603" s="1" t="s">
        <v>17</v>
      </c>
      <c r="E603" s="1" t="s">
        <v>13</v>
      </c>
      <c r="F603" s="1" t="s">
        <v>27</v>
      </c>
      <c r="G603" s="1">
        <v>38.47</v>
      </c>
      <c r="H603" s="1">
        <v>8</v>
      </c>
      <c r="I603" s="1">
        <f t="shared" si="20"/>
        <v>15.388</v>
      </c>
      <c r="J603">
        <f t="shared" si="19"/>
        <v>323.14799999999997</v>
      </c>
    </row>
    <row r="604" spans="1:10" x14ac:dyDescent="0.3">
      <c r="A604" s="1" t="s">
        <v>525</v>
      </c>
      <c r="B604" s="1" t="s">
        <v>627</v>
      </c>
      <c r="C604" s="1" t="s">
        <v>11</v>
      </c>
      <c r="D604" s="1" t="s">
        <v>12</v>
      </c>
      <c r="E604" s="1" t="s">
        <v>13</v>
      </c>
      <c r="F604" s="1" t="s">
        <v>33</v>
      </c>
      <c r="G604" s="1">
        <v>15.5</v>
      </c>
      <c r="H604" s="1">
        <v>10</v>
      </c>
      <c r="I604" s="1">
        <f t="shared" si="20"/>
        <v>7.75</v>
      </c>
      <c r="J604">
        <f t="shared" si="19"/>
        <v>162.75</v>
      </c>
    </row>
    <row r="605" spans="1:10" x14ac:dyDescent="0.3">
      <c r="A605" s="1" t="s">
        <v>525</v>
      </c>
      <c r="B605" s="1" t="s">
        <v>628</v>
      </c>
      <c r="C605" s="1" t="s">
        <v>16</v>
      </c>
      <c r="D605" s="1" t="s">
        <v>17</v>
      </c>
      <c r="E605" s="1" t="s">
        <v>18</v>
      </c>
      <c r="F605" s="1" t="s">
        <v>14</v>
      </c>
      <c r="G605" s="1">
        <v>34.31</v>
      </c>
      <c r="H605" s="1">
        <v>8</v>
      </c>
      <c r="I605" s="1">
        <f t="shared" si="20"/>
        <v>13.724000000000002</v>
      </c>
      <c r="J605">
        <f t="shared" si="19"/>
        <v>288.20400000000001</v>
      </c>
    </row>
    <row r="606" spans="1:10" x14ac:dyDescent="0.3">
      <c r="A606" s="1" t="s">
        <v>525</v>
      </c>
      <c r="B606" s="1" t="s">
        <v>629</v>
      </c>
      <c r="C606" s="1" t="s">
        <v>25</v>
      </c>
      <c r="D606" s="1" t="s">
        <v>26</v>
      </c>
      <c r="E606" s="1" t="s">
        <v>13</v>
      </c>
      <c r="F606" s="1" t="s">
        <v>27</v>
      </c>
      <c r="G606" s="1">
        <v>18.079999999999998</v>
      </c>
      <c r="H606" s="1">
        <v>3</v>
      </c>
      <c r="I606" s="1">
        <f t="shared" si="20"/>
        <v>2.7119999999999997</v>
      </c>
      <c r="J606">
        <f t="shared" si="19"/>
        <v>56.951999999999998</v>
      </c>
    </row>
    <row r="607" spans="1:10" x14ac:dyDescent="0.3">
      <c r="A607" s="1" t="s">
        <v>525</v>
      </c>
      <c r="B607" s="1" t="s">
        <v>630</v>
      </c>
      <c r="C607" s="1" t="s">
        <v>25</v>
      </c>
      <c r="D607" s="1" t="s">
        <v>26</v>
      </c>
      <c r="E607" s="1" t="s">
        <v>13</v>
      </c>
      <c r="F607" s="1" t="s">
        <v>22</v>
      </c>
      <c r="G607" s="1">
        <v>46.47</v>
      </c>
      <c r="H607" s="1">
        <v>4</v>
      </c>
      <c r="I607" s="1">
        <f t="shared" si="20"/>
        <v>9.2940000000000005</v>
      </c>
      <c r="J607">
        <f t="shared" si="19"/>
        <v>195.17400000000001</v>
      </c>
    </row>
    <row r="608" spans="1:10" x14ac:dyDescent="0.3">
      <c r="A608" s="1" t="s">
        <v>525</v>
      </c>
      <c r="B608" s="1" t="s">
        <v>631</v>
      </c>
      <c r="C608" s="1" t="s">
        <v>11</v>
      </c>
      <c r="D608" s="1" t="s">
        <v>12</v>
      </c>
      <c r="E608" s="1" t="s">
        <v>18</v>
      </c>
      <c r="F608" s="1" t="s">
        <v>22</v>
      </c>
      <c r="G608" s="1">
        <v>74.069999999999993</v>
      </c>
      <c r="H608" s="1">
        <v>1</v>
      </c>
      <c r="I608" s="1">
        <f t="shared" si="20"/>
        <v>3.7035</v>
      </c>
      <c r="J608">
        <f t="shared" si="19"/>
        <v>77.773499999999999</v>
      </c>
    </row>
    <row r="609" spans="1:10" x14ac:dyDescent="0.3">
      <c r="A609" s="1" t="s">
        <v>525</v>
      </c>
      <c r="B609" s="1" t="s">
        <v>632</v>
      </c>
      <c r="C609" s="1" t="s">
        <v>25</v>
      </c>
      <c r="D609" s="1" t="s">
        <v>26</v>
      </c>
      <c r="E609" s="1" t="s">
        <v>18</v>
      </c>
      <c r="F609" s="1" t="s">
        <v>22</v>
      </c>
      <c r="G609" s="1">
        <v>25.55</v>
      </c>
      <c r="H609" s="1">
        <v>4</v>
      </c>
      <c r="I609" s="1">
        <f t="shared" si="20"/>
        <v>5.1100000000000003</v>
      </c>
      <c r="J609">
        <f t="shared" si="19"/>
        <v>107.31</v>
      </c>
    </row>
    <row r="610" spans="1:10" x14ac:dyDescent="0.3">
      <c r="A610" s="1" t="s">
        <v>525</v>
      </c>
      <c r="B610" s="1" t="s">
        <v>633</v>
      </c>
      <c r="C610" s="1" t="s">
        <v>11</v>
      </c>
      <c r="D610" s="1" t="s">
        <v>12</v>
      </c>
      <c r="E610" s="1" t="s">
        <v>18</v>
      </c>
      <c r="F610" s="1" t="s">
        <v>19</v>
      </c>
      <c r="G610" s="1">
        <v>32.71</v>
      </c>
      <c r="H610" s="1">
        <v>5</v>
      </c>
      <c r="I610" s="1">
        <f t="shared" si="20"/>
        <v>8.1775000000000002</v>
      </c>
      <c r="J610">
        <f t="shared" si="19"/>
        <v>171.72750000000002</v>
      </c>
    </row>
    <row r="611" spans="1:10" x14ac:dyDescent="0.3">
      <c r="A611" s="1" t="s">
        <v>525</v>
      </c>
      <c r="B611" s="1" t="s">
        <v>634</v>
      </c>
      <c r="C611" s="1" t="s">
        <v>16</v>
      </c>
      <c r="D611" s="1" t="s">
        <v>17</v>
      </c>
      <c r="E611" s="1" t="s">
        <v>13</v>
      </c>
      <c r="F611" s="1" t="s">
        <v>14</v>
      </c>
      <c r="G611" s="1">
        <v>43.7</v>
      </c>
      <c r="H611" s="1">
        <v>2</v>
      </c>
      <c r="I611" s="1">
        <f t="shared" si="20"/>
        <v>4.37</v>
      </c>
      <c r="J611">
        <f t="shared" si="19"/>
        <v>91.77000000000001</v>
      </c>
    </row>
    <row r="612" spans="1:10" x14ac:dyDescent="0.3">
      <c r="A612" s="1" t="s">
        <v>525</v>
      </c>
      <c r="B612" s="1" t="s">
        <v>635</v>
      </c>
      <c r="C612" s="1" t="s">
        <v>16</v>
      </c>
      <c r="D612" s="1" t="s">
        <v>17</v>
      </c>
      <c r="E612" s="1" t="s">
        <v>18</v>
      </c>
      <c r="F612" s="1" t="s">
        <v>14</v>
      </c>
      <c r="G612" s="1">
        <v>41.5</v>
      </c>
      <c r="H612" s="1">
        <v>4</v>
      </c>
      <c r="I612" s="1">
        <f t="shared" si="20"/>
        <v>8.3000000000000007</v>
      </c>
      <c r="J612">
        <f t="shared" si="19"/>
        <v>174.3</v>
      </c>
    </row>
    <row r="613" spans="1:10" x14ac:dyDescent="0.3">
      <c r="A613" s="1" t="s">
        <v>525</v>
      </c>
      <c r="B613" s="1" t="s">
        <v>636</v>
      </c>
      <c r="C613" s="1" t="s">
        <v>16</v>
      </c>
      <c r="D613" s="1" t="s">
        <v>17</v>
      </c>
      <c r="E613" s="1" t="s">
        <v>18</v>
      </c>
      <c r="F613" s="1" t="s">
        <v>19</v>
      </c>
      <c r="G613" s="1">
        <v>61.41</v>
      </c>
      <c r="H613" s="1">
        <v>7</v>
      </c>
      <c r="I613" s="1">
        <f t="shared" si="20"/>
        <v>21.493500000000001</v>
      </c>
      <c r="J613">
        <f t="shared" si="19"/>
        <v>451.36349999999999</v>
      </c>
    </row>
    <row r="614" spans="1:10" x14ac:dyDescent="0.3">
      <c r="A614" s="1" t="s">
        <v>525</v>
      </c>
      <c r="B614" s="1" t="s">
        <v>637</v>
      </c>
      <c r="C614" s="1" t="s">
        <v>25</v>
      </c>
      <c r="D614" s="1" t="s">
        <v>26</v>
      </c>
      <c r="E614" s="1" t="s">
        <v>13</v>
      </c>
      <c r="F614" s="1" t="s">
        <v>14</v>
      </c>
      <c r="G614" s="1">
        <v>25.9</v>
      </c>
      <c r="H614" s="1">
        <v>10</v>
      </c>
      <c r="I614" s="1">
        <f t="shared" si="20"/>
        <v>12.950000000000001</v>
      </c>
      <c r="J614">
        <f t="shared" si="19"/>
        <v>271.95</v>
      </c>
    </row>
    <row r="615" spans="1:10" x14ac:dyDescent="0.3">
      <c r="A615" s="1" t="s">
        <v>525</v>
      </c>
      <c r="B615" s="1" t="s">
        <v>638</v>
      </c>
      <c r="C615" s="1" t="s">
        <v>25</v>
      </c>
      <c r="D615" s="1" t="s">
        <v>26</v>
      </c>
      <c r="E615" s="1" t="s">
        <v>13</v>
      </c>
      <c r="F615" s="1" t="s">
        <v>22</v>
      </c>
      <c r="G615" s="1">
        <v>17.77</v>
      </c>
      <c r="H615" s="1">
        <v>5</v>
      </c>
      <c r="I615" s="1">
        <f t="shared" si="20"/>
        <v>4.4424999999999999</v>
      </c>
      <c r="J615">
        <f t="shared" si="19"/>
        <v>93.29249999999999</v>
      </c>
    </row>
    <row r="616" spans="1:10" x14ac:dyDescent="0.3">
      <c r="A616" s="1" t="s">
        <v>525</v>
      </c>
      <c r="B616" s="1" t="s">
        <v>639</v>
      </c>
      <c r="C616" s="1" t="s">
        <v>11</v>
      </c>
      <c r="D616" s="1" t="s">
        <v>12</v>
      </c>
      <c r="E616" s="1" t="s">
        <v>18</v>
      </c>
      <c r="F616" s="1" t="s">
        <v>19</v>
      </c>
      <c r="G616" s="1">
        <v>26.23</v>
      </c>
      <c r="H616" s="1">
        <v>9</v>
      </c>
      <c r="I616" s="1">
        <f t="shared" si="20"/>
        <v>11.8035</v>
      </c>
      <c r="J616">
        <f t="shared" si="19"/>
        <v>247.87349999999998</v>
      </c>
    </row>
    <row r="617" spans="1:10" x14ac:dyDescent="0.3">
      <c r="A617" s="1" t="s">
        <v>525</v>
      </c>
      <c r="B617" s="1" t="s">
        <v>640</v>
      </c>
      <c r="C617" s="1" t="s">
        <v>25</v>
      </c>
      <c r="D617" s="1" t="s">
        <v>26</v>
      </c>
      <c r="E617" s="1" t="s">
        <v>18</v>
      </c>
      <c r="F617" s="1" t="s">
        <v>22</v>
      </c>
      <c r="G617" s="1">
        <v>92.36</v>
      </c>
      <c r="H617" s="1">
        <v>5</v>
      </c>
      <c r="I617" s="1">
        <f t="shared" si="20"/>
        <v>23.090000000000003</v>
      </c>
      <c r="J617">
        <f t="shared" si="19"/>
        <v>484.89</v>
      </c>
    </row>
    <row r="618" spans="1:10" x14ac:dyDescent="0.3">
      <c r="A618" s="1" t="s">
        <v>525</v>
      </c>
      <c r="B618" s="1" t="s">
        <v>641</v>
      </c>
      <c r="C618" s="1" t="s">
        <v>25</v>
      </c>
      <c r="D618" s="1" t="s">
        <v>26</v>
      </c>
      <c r="E618" s="1" t="s">
        <v>18</v>
      </c>
      <c r="F618" s="1" t="s">
        <v>33</v>
      </c>
      <c r="G618" s="1">
        <v>46.42</v>
      </c>
      <c r="H618" s="1">
        <v>3</v>
      </c>
      <c r="I618" s="1">
        <f t="shared" si="20"/>
        <v>6.9630000000000001</v>
      </c>
      <c r="J618">
        <f t="shared" si="19"/>
        <v>146.22299999999998</v>
      </c>
    </row>
    <row r="619" spans="1:10" x14ac:dyDescent="0.3">
      <c r="A619" s="1" t="s">
        <v>525</v>
      </c>
      <c r="B619" s="1" t="s">
        <v>642</v>
      </c>
      <c r="C619" s="1" t="s">
        <v>11</v>
      </c>
      <c r="D619" s="1" t="s">
        <v>12</v>
      </c>
      <c r="E619" s="1" t="s">
        <v>18</v>
      </c>
      <c r="F619" s="1" t="s">
        <v>22</v>
      </c>
      <c r="G619" s="1">
        <v>18.28</v>
      </c>
      <c r="H619" s="1">
        <v>1</v>
      </c>
      <c r="I619" s="1">
        <f t="shared" si="20"/>
        <v>0.91400000000000015</v>
      </c>
      <c r="J619">
        <f t="shared" si="19"/>
        <v>19.194000000000003</v>
      </c>
    </row>
    <row r="620" spans="1:10" x14ac:dyDescent="0.3">
      <c r="A620" s="1" t="s">
        <v>525</v>
      </c>
      <c r="B620" s="1" t="s">
        <v>643</v>
      </c>
      <c r="C620" s="1" t="s">
        <v>25</v>
      </c>
      <c r="D620" s="1" t="s">
        <v>26</v>
      </c>
      <c r="E620" s="1" t="s">
        <v>18</v>
      </c>
      <c r="F620" s="1" t="s">
        <v>29</v>
      </c>
      <c r="G620" s="1">
        <v>94.87</v>
      </c>
      <c r="H620" s="1">
        <v>8</v>
      </c>
      <c r="I620" s="1">
        <f t="shared" si="20"/>
        <v>37.948</v>
      </c>
      <c r="J620">
        <f t="shared" si="19"/>
        <v>796.90800000000002</v>
      </c>
    </row>
    <row r="621" spans="1:10" x14ac:dyDescent="0.3">
      <c r="A621" s="1" t="s">
        <v>525</v>
      </c>
      <c r="B621" s="1" t="s">
        <v>644</v>
      </c>
      <c r="C621" s="1" t="s">
        <v>25</v>
      </c>
      <c r="D621" s="1" t="s">
        <v>26</v>
      </c>
      <c r="E621" s="1" t="s">
        <v>18</v>
      </c>
      <c r="F621" s="1" t="s">
        <v>19</v>
      </c>
      <c r="G621" s="1">
        <v>45.35</v>
      </c>
      <c r="H621" s="1">
        <v>6</v>
      </c>
      <c r="I621" s="1">
        <f t="shared" si="20"/>
        <v>13.605000000000002</v>
      </c>
      <c r="J621">
        <f t="shared" si="19"/>
        <v>285.70500000000004</v>
      </c>
    </row>
    <row r="622" spans="1:10" x14ac:dyDescent="0.3">
      <c r="A622" s="1" t="s">
        <v>525</v>
      </c>
      <c r="B622" s="1" t="s">
        <v>645</v>
      </c>
      <c r="C622" s="1" t="s">
        <v>25</v>
      </c>
      <c r="D622" s="1" t="s">
        <v>26</v>
      </c>
      <c r="E622" s="1" t="s">
        <v>18</v>
      </c>
      <c r="F622" s="1" t="s">
        <v>27</v>
      </c>
      <c r="G622" s="1">
        <v>62.08</v>
      </c>
      <c r="H622" s="1">
        <v>7</v>
      </c>
      <c r="I622" s="1">
        <f t="shared" si="20"/>
        <v>21.728000000000002</v>
      </c>
      <c r="J622">
        <f t="shared" si="19"/>
        <v>456.28800000000001</v>
      </c>
    </row>
    <row r="623" spans="1:10" x14ac:dyDescent="0.3">
      <c r="A623" s="1" t="s">
        <v>525</v>
      </c>
      <c r="B623" s="1" t="s">
        <v>646</v>
      </c>
      <c r="C623" s="1" t="s">
        <v>16</v>
      </c>
      <c r="D623" s="1" t="s">
        <v>17</v>
      </c>
      <c r="E623" s="1" t="s">
        <v>18</v>
      </c>
      <c r="F623" s="1" t="s">
        <v>19</v>
      </c>
      <c r="G623" s="1">
        <v>11.81</v>
      </c>
      <c r="H623" s="1">
        <v>5</v>
      </c>
      <c r="I623" s="1">
        <f t="shared" si="20"/>
        <v>2.9525000000000006</v>
      </c>
      <c r="J623">
        <f t="shared" si="19"/>
        <v>62.002500000000005</v>
      </c>
    </row>
    <row r="624" spans="1:10" x14ac:dyDescent="0.3">
      <c r="A624" s="1" t="s">
        <v>525</v>
      </c>
      <c r="B624" s="1" t="s">
        <v>647</v>
      </c>
      <c r="C624" s="1" t="s">
        <v>11</v>
      </c>
      <c r="D624" s="1" t="s">
        <v>12</v>
      </c>
      <c r="E624" s="1" t="s">
        <v>18</v>
      </c>
      <c r="F624" s="1" t="s">
        <v>27</v>
      </c>
      <c r="G624" s="1">
        <v>43.25</v>
      </c>
      <c r="H624" s="1">
        <v>2</v>
      </c>
      <c r="I624" s="1">
        <f t="shared" si="20"/>
        <v>4.3250000000000002</v>
      </c>
      <c r="J624">
        <f t="shared" si="19"/>
        <v>90.825000000000003</v>
      </c>
    </row>
    <row r="625" spans="1:10" x14ac:dyDescent="0.3">
      <c r="A625" s="1" t="s">
        <v>525</v>
      </c>
      <c r="B625" s="1" t="s">
        <v>648</v>
      </c>
      <c r="C625" s="1" t="s">
        <v>25</v>
      </c>
      <c r="D625" s="1" t="s">
        <v>26</v>
      </c>
      <c r="E625" s="1" t="s">
        <v>13</v>
      </c>
      <c r="F625" s="1" t="s">
        <v>14</v>
      </c>
      <c r="G625" s="1">
        <v>69.37</v>
      </c>
      <c r="H625" s="1">
        <v>9</v>
      </c>
      <c r="I625" s="1">
        <f t="shared" si="20"/>
        <v>31.216500000000003</v>
      </c>
      <c r="J625">
        <f t="shared" si="19"/>
        <v>655.54650000000004</v>
      </c>
    </row>
    <row r="626" spans="1:10" x14ac:dyDescent="0.3">
      <c r="A626" s="1" t="s">
        <v>525</v>
      </c>
      <c r="B626" s="1" t="s">
        <v>649</v>
      </c>
      <c r="C626" s="1" t="s">
        <v>16</v>
      </c>
      <c r="D626" s="1" t="s">
        <v>17</v>
      </c>
      <c r="E626" s="1" t="s">
        <v>13</v>
      </c>
      <c r="F626" s="1" t="s">
        <v>19</v>
      </c>
      <c r="G626" s="1">
        <v>37.06</v>
      </c>
      <c r="H626" s="1">
        <v>4</v>
      </c>
      <c r="I626" s="1">
        <f t="shared" si="20"/>
        <v>7.4120000000000008</v>
      </c>
      <c r="J626">
        <f t="shared" si="19"/>
        <v>155.65200000000002</v>
      </c>
    </row>
    <row r="627" spans="1:10" x14ac:dyDescent="0.3">
      <c r="A627" s="1" t="s">
        <v>525</v>
      </c>
      <c r="B627" s="1" t="s">
        <v>650</v>
      </c>
      <c r="C627" s="1" t="s">
        <v>25</v>
      </c>
      <c r="D627" s="1" t="s">
        <v>26</v>
      </c>
      <c r="E627" s="1" t="s">
        <v>13</v>
      </c>
      <c r="F627" s="1" t="s">
        <v>29</v>
      </c>
      <c r="G627" s="1">
        <v>73.819999999999993</v>
      </c>
      <c r="H627" s="1">
        <v>4</v>
      </c>
      <c r="I627" s="1">
        <f t="shared" si="20"/>
        <v>14.763999999999999</v>
      </c>
      <c r="J627">
        <f t="shared" si="19"/>
        <v>310.04399999999998</v>
      </c>
    </row>
    <row r="628" spans="1:10" x14ac:dyDescent="0.3">
      <c r="A628" s="1" t="s">
        <v>525</v>
      </c>
      <c r="B628" s="1" t="s">
        <v>651</v>
      </c>
      <c r="C628" s="1" t="s">
        <v>11</v>
      </c>
      <c r="D628" s="1" t="s">
        <v>12</v>
      </c>
      <c r="E628" s="1" t="s">
        <v>13</v>
      </c>
      <c r="F628" s="1" t="s">
        <v>14</v>
      </c>
      <c r="G628" s="1">
        <v>51.94</v>
      </c>
      <c r="H628" s="1">
        <v>10</v>
      </c>
      <c r="I628" s="1">
        <f t="shared" si="20"/>
        <v>25.97</v>
      </c>
      <c r="J628">
        <f t="shared" si="19"/>
        <v>545.37</v>
      </c>
    </row>
    <row r="629" spans="1:10" x14ac:dyDescent="0.3">
      <c r="A629" s="1" t="s">
        <v>525</v>
      </c>
      <c r="B629" s="1" t="s">
        <v>652</v>
      </c>
      <c r="C629" s="1" t="s">
        <v>16</v>
      </c>
      <c r="D629" s="1" t="s">
        <v>17</v>
      </c>
      <c r="E629" s="1" t="s">
        <v>18</v>
      </c>
      <c r="F629" s="1" t="s">
        <v>14</v>
      </c>
      <c r="G629" s="1">
        <v>17.41</v>
      </c>
      <c r="H629" s="1">
        <v>5</v>
      </c>
      <c r="I629" s="1">
        <f t="shared" si="20"/>
        <v>4.3525</v>
      </c>
      <c r="J629">
        <f t="shared" si="19"/>
        <v>91.402500000000003</v>
      </c>
    </row>
    <row r="630" spans="1:10" x14ac:dyDescent="0.3">
      <c r="A630" s="1" t="s">
        <v>525</v>
      </c>
      <c r="B630" s="1" t="s">
        <v>653</v>
      </c>
      <c r="C630" s="1" t="s">
        <v>11</v>
      </c>
      <c r="D630" s="1" t="s">
        <v>12</v>
      </c>
      <c r="E630" s="1" t="s">
        <v>18</v>
      </c>
      <c r="F630" s="1" t="s">
        <v>29</v>
      </c>
      <c r="G630" s="1">
        <v>89.69</v>
      </c>
      <c r="H630" s="1">
        <v>1</v>
      </c>
      <c r="I630" s="1">
        <f t="shared" si="20"/>
        <v>4.4844999999999997</v>
      </c>
      <c r="J630">
        <f t="shared" si="19"/>
        <v>94.174499999999995</v>
      </c>
    </row>
    <row r="631" spans="1:10" x14ac:dyDescent="0.3">
      <c r="A631" s="1" t="s">
        <v>525</v>
      </c>
      <c r="B631" s="1" t="s">
        <v>654</v>
      </c>
      <c r="C631" s="1" t="s">
        <v>11</v>
      </c>
      <c r="D631" s="1" t="s">
        <v>12</v>
      </c>
      <c r="E631" s="1" t="s">
        <v>18</v>
      </c>
      <c r="F631" s="1" t="s">
        <v>27</v>
      </c>
      <c r="G631" s="1">
        <v>24.94</v>
      </c>
      <c r="H631" s="1">
        <v>9</v>
      </c>
      <c r="I631" s="1">
        <f t="shared" si="20"/>
        <v>11.223000000000001</v>
      </c>
      <c r="J631">
        <f t="shared" si="19"/>
        <v>235.68300000000002</v>
      </c>
    </row>
    <row r="632" spans="1:10" x14ac:dyDescent="0.3">
      <c r="A632" s="1" t="s">
        <v>525</v>
      </c>
      <c r="B632" s="1" t="s">
        <v>655</v>
      </c>
      <c r="C632" s="1" t="s">
        <v>11</v>
      </c>
      <c r="D632" s="1" t="s">
        <v>12</v>
      </c>
      <c r="E632" s="1" t="s">
        <v>18</v>
      </c>
      <c r="F632" s="1" t="s">
        <v>14</v>
      </c>
      <c r="G632" s="1">
        <v>59.77</v>
      </c>
      <c r="H632" s="1">
        <v>2</v>
      </c>
      <c r="I632" s="1">
        <f t="shared" si="20"/>
        <v>5.9770000000000003</v>
      </c>
      <c r="J632">
        <f t="shared" si="19"/>
        <v>125.51700000000001</v>
      </c>
    </row>
    <row r="633" spans="1:10" x14ac:dyDescent="0.3">
      <c r="A633" s="1" t="s">
        <v>525</v>
      </c>
      <c r="B633" s="1" t="s">
        <v>656</v>
      </c>
      <c r="C633" s="1" t="s">
        <v>16</v>
      </c>
      <c r="D633" s="1" t="s">
        <v>17</v>
      </c>
      <c r="E633" s="1" t="s">
        <v>13</v>
      </c>
      <c r="F633" s="1" t="s">
        <v>29</v>
      </c>
      <c r="G633" s="1">
        <v>93.2</v>
      </c>
      <c r="H633" s="1">
        <v>2</v>
      </c>
      <c r="I633" s="1">
        <f t="shared" si="20"/>
        <v>9.32</v>
      </c>
      <c r="J633">
        <f t="shared" si="19"/>
        <v>195.72</v>
      </c>
    </row>
    <row r="634" spans="1:10" x14ac:dyDescent="0.3">
      <c r="A634" s="1" t="s">
        <v>525</v>
      </c>
      <c r="B634" s="1" t="s">
        <v>657</v>
      </c>
      <c r="C634" s="1" t="s">
        <v>11</v>
      </c>
      <c r="D634" s="1" t="s">
        <v>12</v>
      </c>
      <c r="E634" s="1" t="s">
        <v>13</v>
      </c>
      <c r="F634" s="1" t="s">
        <v>22</v>
      </c>
      <c r="G634" s="1">
        <v>62.65</v>
      </c>
      <c r="H634" s="1">
        <v>4</v>
      </c>
      <c r="I634" s="1">
        <f t="shared" si="20"/>
        <v>12.530000000000001</v>
      </c>
      <c r="J634">
        <f t="shared" si="19"/>
        <v>263.13</v>
      </c>
    </row>
    <row r="635" spans="1:10" x14ac:dyDescent="0.3">
      <c r="A635" s="1" t="s">
        <v>525</v>
      </c>
      <c r="B635" s="1" t="s">
        <v>658</v>
      </c>
      <c r="C635" s="1" t="s">
        <v>25</v>
      </c>
      <c r="D635" s="1" t="s">
        <v>26</v>
      </c>
      <c r="E635" s="1" t="s">
        <v>18</v>
      </c>
      <c r="F635" s="1" t="s">
        <v>22</v>
      </c>
      <c r="G635" s="1">
        <v>93.87</v>
      </c>
      <c r="H635" s="1">
        <v>8</v>
      </c>
      <c r="I635" s="1">
        <f t="shared" si="20"/>
        <v>37.548000000000002</v>
      </c>
      <c r="J635">
        <f t="shared" si="19"/>
        <v>788.50800000000004</v>
      </c>
    </row>
    <row r="636" spans="1:10" x14ac:dyDescent="0.3">
      <c r="A636" s="1" t="s">
        <v>525</v>
      </c>
      <c r="B636" s="1" t="s">
        <v>659</v>
      </c>
      <c r="C636" s="1" t="s">
        <v>11</v>
      </c>
      <c r="D636" s="1" t="s">
        <v>12</v>
      </c>
      <c r="E636" s="1" t="s">
        <v>13</v>
      </c>
      <c r="F636" s="1" t="s">
        <v>22</v>
      </c>
      <c r="G636" s="1">
        <v>47.59</v>
      </c>
      <c r="H636" s="1">
        <v>8</v>
      </c>
      <c r="I636" s="1">
        <f t="shared" si="20"/>
        <v>19.036000000000001</v>
      </c>
      <c r="J636">
        <f t="shared" si="19"/>
        <v>399.75600000000003</v>
      </c>
    </row>
    <row r="637" spans="1:10" x14ac:dyDescent="0.3">
      <c r="A637" s="1" t="s">
        <v>525</v>
      </c>
      <c r="B637" s="1" t="s">
        <v>660</v>
      </c>
      <c r="C637" s="1" t="s">
        <v>11</v>
      </c>
      <c r="D637" s="1" t="s">
        <v>12</v>
      </c>
      <c r="E637" s="1" t="s">
        <v>13</v>
      </c>
      <c r="F637" s="1" t="s">
        <v>29</v>
      </c>
      <c r="G637" s="1">
        <v>17.940000000000001</v>
      </c>
      <c r="H637" s="1">
        <v>5</v>
      </c>
      <c r="I637" s="1">
        <f t="shared" si="20"/>
        <v>4.4850000000000003</v>
      </c>
      <c r="J637">
        <f t="shared" si="19"/>
        <v>94.185000000000002</v>
      </c>
    </row>
    <row r="638" spans="1:10" x14ac:dyDescent="0.3">
      <c r="A638" s="1" t="s">
        <v>525</v>
      </c>
      <c r="B638" s="1" t="s">
        <v>661</v>
      </c>
      <c r="C638" s="1" t="s">
        <v>11</v>
      </c>
      <c r="D638" s="1" t="s">
        <v>12</v>
      </c>
      <c r="E638" s="1" t="s">
        <v>13</v>
      </c>
      <c r="F638" s="1" t="s">
        <v>19</v>
      </c>
      <c r="G638" s="1">
        <v>77.72</v>
      </c>
      <c r="H638" s="1">
        <v>4</v>
      </c>
      <c r="I638" s="1">
        <f t="shared" si="20"/>
        <v>15.544</v>
      </c>
      <c r="J638">
        <f t="shared" si="19"/>
        <v>326.42399999999998</v>
      </c>
    </row>
    <row r="639" spans="1:10" x14ac:dyDescent="0.3">
      <c r="A639" s="1" t="s">
        <v>525</v>
      </c>
      <c r="B639" s="1" t="s">
        <v>662</v>
      </c>
      <c r="C639" s="1" t="s">
        <v>25</v>
      </c>
      <c r="D639" s="1" t="s">
        <v>26</v>
      </c>
      <c r="E639" s="1" t="s">
        <v>18</v>
      </c>
      <c r="F639" s="1" t="s">
        <v>27</v>
      </c>
      <c r="G639" s="1">
        <v>73.06</v>
      </c>
      <c r="H639" s="1">
        <v>7</v>
      </c>
      <c r="I639" s="1">
        <f t="shared" si="20"/>
        <v>25.571000000000002</v>
      </c>
      <c r="J639">
        <f t="shared" si="19"/>
        <v>536.99099999999999</v>
      </c>
    </row>
    <row r="640" spans="1:10" x14ac:dyDescent="0.3">
      <c r="A640" s="1" t="s">
        <v>525</v>
      </c>
      <c r="B640" s="1" t="s">
        <v>663</v>
      </c>
      <c r="C640" s="1" t="s">
        <v>25</v>
      </c>
      <c r="D640" s="1" t="s">
        <v>26</v>
      </c>
      <c r="E640" s="1" t="s">
        <v>13</v>
      </c>
      <c r="F640" s="1" t="s">
        <v>27</v>
      </c>
      <c r="G640" s="1">
        <v>46.55</v>
      </c>
      <c r="H640" s="1">
        <v>9</v>
      </c>
      <c r="I640" s="1">
        <f t="shared" si="20"/>
        <v>20.947500000000002</v>
      </c>
      <c r="J640">
        <f t="shared" si="19"/>
        <v>439.89749999999998</v>
      </c>
    </row>
    <row r="641" spans="1:10" x14ac:dyDescent="0.3">
      <c r="A641" s="1" t="s">
        <v>525</v>
      </c>
      <c r="B641" s="1" t="s">
        <v>664</v>
      </c>
      <c r="C641" s="1" t="s">
        <v>16</v>
      </c>
      <c r="D641" s="1" t="s">
        <v>17</v>
      </c>
      <c r="E641" s="1" t="s">
        <v>13</v>
      </c>
      <c r="F641" s="1" t="s">
        <v>29</v>
      </c>
      <c r="G641" s="1">
        <v>35.19</v>
      </c>
      <c r="H641" s="1">
        <v>10</v>
      </c>
      <c r="I641" s="1">
        <f t="shared" si="20"/>
        <v>17.594999999999999</v>
      </c>
      <c r="J641">
        <f t="shared" si="19"/>
        <v>369.495</v>
      </c>
    </row>
    <row r="642" spans="1:10" x14ac:dyDescent="0.3">
      <c r="A642" s="1" t="s">
        <v>525</v>
      </c>
      <c r="B642" s="1" t="s">
        <v>665</v>
      </c>
      <c r="C642" s="1" t="s">
        <v>11</v>
      </c>
      <c r="D642" s="1" t="s">
        <v>12</v>
      </c>
      <c r="E642" s="1" t="s">
        <v>18</v>
      </c>
      <c r="F642" s="1" t="s">
        <v>22</v>
      </c>
      <c r="G642" s="1">
        <v>23.75</v>
      </c>
      <c r="H642" s="1">
        <v>4</v>
      </c>
      <c r="I642" s="1">
        <f t="shared" si="20"/>
        <v>4.75</v>
      </c>
      <c r="J642">
        <f t="shared" si="19"/>
        <v>99.75</v>
      </c>
    </row>
    <row r="643" spans="1:10" x14ac:dyDescent="0.3">
      <c r="A643" s="1" t="s">
        <v>525</v>
      </c>
      <c r="B643" s="1" t="s">
        <v>666</v>
      </c>
      <c r="C643" s="1" t="s">
        <v>11</v>
      </c>
      <c r="D643" s="1" t="s">
        <v>12</v>
      </c>
      <c r="E643" s="1" t="s">
        <v>13</v>
      </c>
      <c r="F643" s="1" t="s">
        <v>22</v>
      </c>
      <c r="G643" s="1">
        <v>58.9</v>
      </c>
      <c r="H643" s="1">
        <v>8</v>
      </c>
      <c r="I643" s="1">
        <f t="shared" si="20"/>
        <v>23.560000000000002</v>
      </c>
      <c r="J643">
        <f t="shared" ref="J643:J706" si="21">(G643*H643)+I643</f>
        <v>494.76</v>
      </c>
    </row>
    <row r="644" spans="1:10" x14ac:dyDescent="0.3">
      <c r="A644" s="1" t="s">
        <v>525</v>
      </c>
      <c r="B644" s="1" t="s">
        <v>667</v>
      </c>
      <c r="C644" s="1" t="s">
        <v>25</v>
      </c>
      <c r="D644" s="1" t="s">
        <v>26</v>
      </c>
      <c r="E644" s="1" t="s">
        <v>13</v>
      </c>
      <c r="F644" s="1" t="s">
        <v>29</v>
      </c>
      <c r="G644" s="1">
        <v>32.619999999999997</v>
      </c>
      <c r="H644" s="1">
        <v>4</v>
      </c>
      <c r="I644" s="1">
        <f t="shared" si="20"/>
        <v>6.524</v>
      </c>
      <c r="J644">
        <f t="shared" si="21"/>
        <v>137.00399999999999</v>
      </c>
    </row>
    <row r="645" spans="1:10" x14ac:dyDescent="0.3">
      <c r="A645" s="1" t="s">
        <v>525</v>
      </c>
      <c r="B645" s="1" t="s">
        <v>668</v>
      </c>
      <c r="C645" s="1" t="s">
        <v>11</v>
      </c>
      <c r="D645" s="1" t="s">
        <v>12</v>
      </c>
      <c r="E645" s="1" t="s">
        <v>13</v>
      </c>
      <c r="F645" s="1" t="s">
        <v>19</v>
      </c>
      <c r="G645" s="1">
        <v>66.349999999999994</v>
      </c>
      <c r="H645" s="1">
        <v>1</v>
      </c>
      <c r="I645" s="1">
        <f t="shared" si="20"/>
        <v>3.3174999999999999</v>
      </c>
      <c r="J645">
        <f t="shared" si="21"/>
        <v>69.66749999999999</v>
      </c>
    </row>
    <row r="646" spans="1:10" x14ac:dyDescent="0.3">
      <c r="A646" s="1" t="s">
        <v>525</v>
      </c>
      <c r="B646" s="1" t="s">
        <v>669</v>
      </c>
      <c r="C646" s="1" t="s">
        <v>11</v>
      </c>
      <c r="D646" s="1" t="s">
        <v>12</v>
      </c>
      <c r="E646" s="1" t="s">
        <v>13</v>
      </c>
      <c r="F646" s="1" t="s">
        <v>22</v>
      </c>
      <c r="G646" s="1">
        <v>25.91</v>
      </c>
      <c r="H646" s="1">
        <v>6</v>
      </c>
      <c r="I646" s="1">
        <f t="shared" si="20"/>
        <v>7.7730000000000006</v>
      </c>
      <c r="J646">
        <f t="shared" si="21"/>
        <v>163.233</v>
      </c>
    </row>
    <row r="647" spans="1:10" x14ac:dyDescent="0.3">
      <c r="A647" s="1" t="s">
        <v>525</v>
      </c>
      <c r="B647" s="1" t="s">
        <v>670</v>
      </c>
      <c r="C647" s="1" t="s">
        <v>11</v>
      </c>
      <c r="D647" s="1" t="s">
        <v>12</v>
      </c>
      <c r="E647" s="1" t="s">
        <v>13</v>
      </c>
      <c r="F647" s="1" t="s">
        <v>19</v>
      </c>
      <c r="G647" s="1">
        <v>32.25</v>
      </c>
      <c r="H647" s="1">
        <v>4</v>
      </c>
      <c r="I647" s="1">
        <f t="shared" si="20"/>
        <v>6.45</v>
      </c>
      <c r="J647">
        <f t="shared" si="21"/>
        <v>135.44999999999999</v>
      </c>
    </row>
    <row r="648" spans="1:10" x14ac:dyDescent="0.3">
      <c r="A648" s="1" t="s">
        <v>525</v>
      </c>
      <c r="B648" s="1" t="s">
        <v>671</v>
      </c>
      <c r="C648" s="1" t="s">
        <v>16</v>
      </c>
      <c r="D648" s="1" t="s">
        <v>17</v>
      </c>
      <c r="E648" s="1" t="s">
        <v>13</v>
      </c>
      <c r="F648" s="1" t="s">
        <v>19</v>
      </c>
      <c r="G648" s="1">
        <v>65.94</v>
      </c>
      <c r="H648" s="1">
        <v>4</v>
      </c>
      <c r="I648" s="1">
        <f t="shared" si="20"/>
        <v>13.188000000000001</v>
      </c>
      <c r="J648">
        <f t="shared" si="21"/>
        <v>276.94799999999998</v>
      </c>
    </row>
    <row r="649" spans="1:10" x14ac:dyDescent="0.3">
      <c r="A649" s="1" t="s">
        <v>525</v>
      </c>
      <c r="B649" s="1" t="s">
        <v>672</v>
      </c>
      <c r="C649" s="1" t="s">
        <v>25</v>
      </c>
      <c r="D649" s="1" t="s">
        <v>26</v>
      </c>
      <c r="E649" s="1" t="s">
        <v>18</v>
      </c>
      <c r="F649" s="1" t="s">
        <v>33</v>
      </c>
      <c r="G649" s="1">
        <v>54.45</v>
      </c>
      <c r="H649" s="1">
        <v>1</v>
      </c>
      <c r="I649" s="1">
        <f t="shared" si="20"/>
        <v>2.7225000000000001</v>
      </c>
      <c r="J649">
        <f t="shared" si="21"/>
        <v>57.172499999999999</v>
      </c>
    </row>
    <row r="650" spans="1:10" x14ac:dyDescent="0.3">
      <c r="A650" s="1" t="s">
        <v>525</v>
      </c>
      <c r="B650" s="1" t="s">
        <v>673</v>
      </c>
      <c r="C650" s="1" t="s">
        <v>16</v>
      </c>
      <c r="D650" s="1" t="s">
        <v>17</v>
      </c>
      <c r="E650" s="1" t="s">
        <v>18</v>
      </c>
      <c r="F650" s="1" t="s">
        <v>22</v>
      </c>
      <c r="G650" s="1">
        <v>35.47</v>
      </c>
      <c r="H650" s="1">
        <v>4</v>
      </c>
      <c r="I650" s="1">
        <f t="shared" si="20"/>
        <v>7.0940000000000003</v>
      </c>
      <c r="J650">
        <f t="shared" si="21"/>
        <v>148.97399999999999</v>
      </c>
    </row>
    <row r="651" spans="1:10" x14ac:dyDescent="0.3">
      <c r="A651" s="1" t="s">
        <v>525</v>
      </c>
      <c r="B651" s="1" t="s">
        <v>674</v>
      </c>
      <c r="C651" s="1" t="s">
        <v>11</v>
      </c>
      <c r="D651" s="1" t="s">
        <v>12</v>
      </c>
      <c r="E651" s="1" t="s">
        <v>13</v>
      </c>
      <c r="F651" s="1" t="s">
        <v>22</v>
      </c>
      <c r="G651" s="1">
        <v>70.739999999999995</v>
      </c>
      <c r="H651" s="1">
        <v>4</v>
      </c>
      <c r="I651" s="1">
        <f t="shared" si="20"/>
        <v>14.148</v>
      </c>
      <c r="J651">
        <f t="shared" si="21"/>
        <v>297.108</v>
      </c>
    </row>
    <row r="652" spans="1:10" x14ac:dyDescent="0.3">
      <c r="A652" s="1" t="s">
        <v>525</v>
      </c>
      <c r="B652" s="1" t="s">
        <v>675</v>
      </c>
      <c r="C652" s="1" t="s">
        <v>25</v>
      </c>
      <c r="D652" s="1" t="s">
        <v>26</v>
      </c>
      <c r="E652" s="1" t="s">
        <v>18</v>
      </c>
      <c r="F652" s="1" t="s">
        <v>29</v>
      </c>
      <c r="G652" s="1">
        <v>47.97</v>
      </c>
      <c r="H652" s="1">
        <v>7</v>
      </c>
      <c r="I652" s="1">
        <f t="shared" si="20"/>
        <v>16.7895</v>
      </c>
      <c r="J652">
        <f t="shared" si="21"/>
        <v>352.57949999999994</v>
      </c>
    </row>
    <row r="653" spans="1:10" x14ac:dyDescent="0.3">
      <c r="A653" s="1" t="s">
        <v>525</v>
      </c>
      <c r="B653" s="1" t="s">
        <v>676</v>
      </c>
      <c r="C653" s="1" t="s">
        <v>16</v>
      </c>
      <c r="D653" s="1" t="s">
        <v>17</v>
      </c>
      <c r="E653" s="1" t="s">
        <v>13</v>
      </c>
      <c r="F653" s="1" t="s">
        <v>29</v>
      </c>
      <c r="G653" s="1">
        <v>70.989999999999995</v>
      </c>
      <c r="H653" s="1">
        <v>10</v>
      </c>
      <c r="I653" s="1">
        <f t="shared" si="20"/>
        <v>35.494999999999997</v>
      </c>
      <c r="J653">
        <f t="shared" si="21"/>
        <v>745.39499999999998</v>
      </c>
    </row>
    <row r="654" spans="1:10" x14ac:dyDescent="0.3">
      <c r="A654" s="1" t="s">
        <v>525</v>
      </c>
      <c r="B654" s="1" t="s">
        <v>677</v>
      </c>
      <c r="C654" s="1" t="s">
        <v>11</v>
      </c>
      <c r="D654" s="1" t="s">
        <v>12</v>
      </c>
      <c r="E654" s="1" t="s">
        <v>13</v>
      </c>
      <c r="F654" s="1" t="s">
        <v>33</v>
      </c>
      <c r="G654" s="1">
        <v>44.02</v>
      </c>
      <c r="H654" s="1">
        <v>10</v>
      </c>
      <c r="I654" s="1">
        <f t="shared" si="20"/>
        <v>22.010000000000005</v>
      </c>
      <c r="J654">
        <f t="shared" si="21"/>
        <v>462.21000000000004</v>
      </c>
    </row>
    <row r="655" spans="1:10" x14ac:dyDescent="0.3">
      <c r="A655" s="1" t="s">
        <v>525</v>
      </c>
      <c r="B655" s="1" t="s">
        <v>678</v>
      </c>
      <c r="C655" s="1" t="s">
        <v>16</v>
      </c>
      <c r="D655" s="1" t="s">
        <v>17</v>
      </c>
      <c r="E655" s="1" t="s">
        <v>18</v>
      </c>
      <c r="F655" s="1" t="s">
        <v>22</v>
      </c>
      <c r="G655" s="1">
        <v>37</v>
      </c>
      <c r="H655" s="1">
        <v>1</v>
      </c>
      <c r="I655" s="1">
        <f t="shared" si="20"/>
        <v>1.85</v>
      </c>
      <c r="J655">
        <f t="shared" si="21"/>
        <v>38.85</v>
      </c>
    </row>
    <row r="656" spans="1:10" x14ac:dyDescent="0.3">
      <c r="A656" s="1" t="s">
        <v>525</v>
      </c>
      <c r="B656" s="1" t="s">
        <v>679</v>
      </c>
      <c r="C656" s="1" t="s">
        <v>11</v>
      </c>
      <c r="D656" s="1" t="s">
        <v>12</v>
      </c>
      <c r="E656" s="1" t="s">
        <v>13</v>
      </c>
      <c r="F656" s="1" t="s">
        <v>14</v>
      </c>
      <c r="G656" s="1">
        <v>99.83</v>
      </c>
      <c r="H656" s="1">
        <v>6</v>
      </c>
      <c r="I656" s="1">
        <f t="shared" si="20"/>
        <v>29.949000000000002</v>
      </c>
      <c r="J656">
        <f t="shared" si="21"/>
        <v>628.92899999999997</v>
      </c>
    </row>
    <row r="657" spans="1:10" x14ac:dyDescent="0.3">
      <c r="A657" s="1" t="s">
        <v>525</v>
      </c>
      <c r="B657" s="1" t="s">
        <v>680</v>
      </c>
      <c r="C657" s="1" t="s">
        <v>25</v>
      </c>
      <c r="D657" s="1" t="s">
        <v>26</v>
      </c>
      <c r="E657" s="1" t="s">
        <v>18</v>
      </c>
      <c r="F657" s="1" t="s">
        <v>14</v>
      </c>
      <c r="G657" s="1">
        <v>66.680000000000007</v>
      </c>
      <c r="H657" s="1">
        <v>5</v>
      </c>
      <c r="I657" s="1">
        <f t="shared" si="20"/>
        <v>16.670000000000002</v>
      </c>
      <c r="J657">
        <f t="shared" si="21"/>
        <v>350.07000000000005</v>
      </c>
    </row>
    <row r="658" spans="1:10" x14ac:dyDescent="0.3">
      <c r="A658" s="1" t="s">
        <v>525</v>
      </c>
      <c r="B658" s="1" t="s">
        <v>681</v>
      </c>
      <c r="C658" s="1" t="s">
        <v>16</v>
      </c>
      <c r="D658" s="1" t="s">
        <v>17</v>
      </c>
      <c r="E658" s="1" t="s">
        <v>13</v>
      </c>
      <c r="F658" s="1" t="s">
        <v>22</v>
      </c>
      <c r="G658" s="1">
        <v>74.86</v>
      </c>
      <c r="H658" s="1">
        <v>1</v>
      </c>
      <c r="I658" s="1">
        <f t="shared" si="20"/>
        <v>3.7430000000000003</v>
      </c>
      <c r="J658">
        <f t="shared" si="21"/>
        <v>78.602999999999994</v>
      </c>
    </row>
    <row r="659" spans="1:10" x14ac:dyDescent="0.3">
      <c r="A659" s="1" t="s">
        <v>525</v>
      </c>
      <c r="B659" s="1" t="s">
        <v>682</v>
      </c>
      <c r="C659" s="1" t="s">
        <v>25</v>
      </c>
      <c r="D659" s="1" t="s">
        <v>26</v>
      </c>
      <c r="E659" s="1" t="s">
        <v>13</v>
      </c>
      <c r="F659" s="1" t="s">
        <v>19</v>
      </c>
      <c r="G659" s="1">
        <v>40.299999999999997</v>
      </c>
      <c r="H659" s="1">
        <v>10</v>
      </c>
      <c r="I659" s="1">
        <f t="shared" si="20"/>
        <v>20.150000000000002</v>
      </c>
      <c r="J659">
        <f t="shared" si="21"/>
        <v>423.15</v>
      </c>
    </row>
    <row r="660" spans="1:10" x14ac:dyDescent="0.3">
      <c r="A660" s="1" t="s">
        <v>525</v>
      </c>
      <c r="B660" s="1" t="s">
        <v>683</v>
      </c>
      <c r="C660" s="1" t="s">
        <v>16</v>
      </c>
      <c r="D660" s="1" t="s">
        <v>17</v>
      </c>
      <c r="E660" s="1" t="s">
        <v>18</v>
      </c>
      <c r="F660" s="1" t="s">
        <v>19</v>
      </c>
      <c r="G660" s="1">
        <v>27.85</v>
      </c>
      <c r="H660" s="1">
        <v>7</v>
      </c>
      <c r="I660" s="1">
        <f t="shared" si="20"/>
        <v>9.7475000000000023</v>
      </c>
      <c r="J660">
        <f t="shared" si="21"/>
        <v>204.69750000000002</v>
      </c>
    </row>
    <row r="661" spans="1:10" x14ac:dyDescent="0.3">
      <c r="A661" s="1" t="s">
        <v>525</v>
      </c>
      <c r="B661" s="1" t="s">
        <v>684</v>
      </c>
      <c r="C661" s="1" t="s">
        <v>25</v>
      </c>
      <c r="D661" s="1" t="s">
        <v>26</v>
      </c>
      <c r="E661" s="1" t="s">
        <v>18</v>
      </c>
      <c r="F661" s="1" t="s">
        <v>14</v>
      </c>
      <c r="G661" s="1">
        <v>18.11</v>
      </c>
      <c r="H661" s="1">
        <v>10</v>
      </c>
      <c r="I661" s="1">
        <f t="shared" si="20"/>
        <v>9.0549999999999997</v>
      </c>
      <c r="J661">
        <f t="shared" si="21"/>
        <v>190.155</v>
      </c>
    </row>
    <row r="662" spans="1:10" x14ac:dyDescent="0.3">
      <c r="A662" s="1" t="s">
        <v>525</v>
      </c>
      <c r="B662" s="1" t="s">
        <v>685</v>
      </c>
      <c r="C662" s="1" t="s">
        <v>16</v>
      </c>
      <c r="D662" s="1" t="s">
        <v>17</v>
      </c>
      <c r="E662" s="1" t="s">
        <v>18</v>
      </c>
      <c r="F662" s="1" t="s">
        <v>19</v>
      </c>
      <c r="G662" s="1">
        <v>28.84</v>
      </c>
      <c r="H662" s="1">
        <v>4</v>
      </c>
      <c r="I662" s="1">
        <f t="shared" si="20"/>
        <v>5.7680000000000007</v>
      </c>
      <c r="J662">
        <f t="shared" si="21"/>
        <v>121.128</v>
      </c>
    </row>
    <row r="663" spans="1:10" x14ac:dyDescent="0.3">
      <c r="A663" s="1" t="s">
        <v>525</v>
      </c>
      <c r="B663" s="1" t="s">
        <v>686</v>
      </c>
      <c r="C663" s="1" t="s">
        <v>11</v>
      </c>
      <c r="D663" s="1" t="s">
        <v>12</v>
      </c>
      <c r="E663" s="1" t="s">
        <v>13</v>
      </c>
      <c r="F663" s="1" t="s">
        <v>22</v>
      </c>
      <c r="G663" s="1">
        <v>78.38</v>
      </c>
      <c r="H663" s="1">
        <v>6</v>
      </c>
      <c r="I663" s="1">
        <f t="shared" si="20"/>
        <v>23.513999999999999</v>
      </c>
      <c r="J663">
        <f t="shared" si="21"/>
        <v>493.79399999999998</v>
      </c>
    </row>
    <row r="664" spans="1:10" x14ac:dyDescent="0.3">
      <c r="A664" s="1" t="s">
        <v>525</v>
      </c>
      <c r="B664" s="1" t="s">
        <v>687</v>
      </c>
      <c r="C664" s="1" t="s">
        <v>11</v>
      </c>
      <c r="D664" s="1" t="s">
        <v>12</v>
      </c>
      <c r="E664" s="1" t="s">
        <v>13</v>
      </c>
      <c r="F664" s="1" t="s">
        <v>22</v>
      </c>
      <c r="G664" s="1">
        <v>60.01</v>
      </c>
      <c r="H664" s="1">
        <v>4</v>
      </c>
      <c r="I664" s="1">
        <f t="shared" si="20"/>
        <v>12.002000000000001</v>
      </c>
      <c r="J664">
        <f t="shared" si="21"/>
        <v>252.042</v>
      </c>
    </row>
    <row r="665" spans="1:10" x14ac:dyDescent="0.3">
      <c r="A665" s="1" t="s">
        <v>525</v>
      </c>
      <c r="B665" s="1" t="s">
        <v>688</v>
      </c>
      <c r="C665" s="1" t="s">
        <v>16</v>
      </c>
      <c r="D665" s="1" t="s">
        <v>17</v>
      </c>
      <c r="E665" s="1" t="s">
        <v>18</v>
      </c>
      <c r="F665" s="1" t="s">
        <v>29</v>
      </c>
      <c r="G665" s="1">
        <v>99.82</v>
      </c>
      <c r="H665" s="1">
        <v>2</v>
      </c>
      <c r="I665" s="1">
        <f t="shared" ref="I665:I728" si="22">(G665*H665)*5%</f>
        <v>9.9819999999999993</v>
      </c>
      <c r="J665">
        <f t="shared" si="21"/>
        <v>209.62199999999999</v>
      </c>
    </row>
    <row r="666" spans="1:10" x14ac:dyDescent="0.3">
      <c r="A666" s="1" t="s">
        <v>525</v>
      </c>
      <c r="B666" s="1" t="s">
        <v>689</v>
      </c>
      <c r="C666" s="1" t="s">
        <v>25</v>
      </c>
      <c r="D666" s="1" t="s">
        <v>26</v>
      </c>
      <c r="E666" s="1" t="s">
        <v>13</v>
      </c>
      <c r="F666" s="1" t="s">
        <v>14</v>
      </c>
      <c r="G666" s="1">
        <v>39.01</v>
      </c>
      <c r="H666" s="1">
        <v>1</v>
      </c>
      <c r="I666" s="1">
        <f t="shared" si="22"/>
        <v>1.9504999999999999</v>
      </c>
      <c r="J666">
        <f t="shared" si="21"/>
        <v>40.960499999999996</v>
      </c>
    </row>
    <row r="667" spans="1:10" x14ac:dyDescent="0.3">
      <c r="A667" s="1" t="s">
        <v>525</v>
      </c>
      <c r="B667" s="1" t="s">
        <v>690</v>
      </c>
      <c r="C667" s="1" t="s">
        <v>16</v>
      </c>
      <c r="D667" s="1" t="s">
        <v>17</v>
      </c>
      <c r="E667" s="1" t="s">
        <v>18</v>
      </c>
      <c r="F667" s="1" t="s">
        <v>27</v>
      </c>
      <c r="G667" s="1">
        <v>48.61</v>
      </c>
      <c r="H667" s="1">
        <v>1</v>
      </c>
      <c r="I667" s="1">
        <f t="shared" si="22"/>
        <v>2.4305000000000003</v>
      </c>
      <c r="J667">
        <f t="shared" si="21"/>
        <v>51.040500000000002</v>
      </c>
    </row>
    <row r="668" spans="1:10" x14ac:dyDescent="0.3">
      <c r="A668" s="1" t="s">
        <v>525</v>
      </c>
      <c r="B668" s="1" t="s">
        <v>691</v>
      </c>
      <c r="C668" s="1" t="s">
        <v>11</v>
      </c>
      <c r="D668" s="1" t="s">
        <v>12</v>
      </c>
      <c r="E668" s="1" t="s">
        <v>13</v>
      </c>
      <c r="F668" s="1" t="s">
        <v>19</v>
      </c>
      <c r="G668" s="1">
        <v>72.2</v>
      </c>
      <c r="H668" s="1">
        <v>7</v>
      </c>
      <c r="I668" s="1">
        <f t="shared" si="22"/>
        <v>25.270000000000003</v>
      </c>
      <c r="J668">
        <f t="shared" si="21"/>
        <v>530.67000000000007</v>
      </c>
    </row>
    <row r="669" spans="1:10" x14ac:dyDescent="0.3">
      <c r="A669" s="1" t="s">
        <v>525</v>
      </c>
      <c r="B669" s="1" t="s">
        <v>692</v>
      </c>
      <c r="C669" s="1" t="s">
        <v>25</v>
      </c>
      <c r="D669" s="1" t="s">
        <v>26</v>
      </c>
      <c r="E669" s="1" t="s">
        <v>13</v>
      </c>
      <c r="F669" s="1" t="s">
        <v>33</v>
      </c>
      <c r="G669" s="1">
        <v>79.930000000000007</v>
      </c>
      <c r="H669" s="1">
        <v>6</v>
      </c>
      <c r="I669" s="1">
        <f t="shared" si="22"/>
        <v>23.979000000000003</v>
      </c>
      <c r="J669">
        <f t="shared" si="21"/>
        <v>503.55900000000003</v>
      </c>
    </row>
    <row r="670" spans="1:10" x14ac:dyDescent="0.3">
      <c r="A670" s="1" t="s">
        <v>525</v>
      </c>
      <c r="B670" s="1" t="s">
        <v>693</v>
      </c>
      <c r="C670" s="1" t="s">
        <v>16</v>
      </c>
      <c r="D670" s="1" t="s">
        <v>17</v>
      </c>
      <c r="E670" s="1" t="s">
        <v>13</v>
      </c>
      <c r="F670" s="1" t="s">
        <v>29</v>
      </c>
      <c r="G670" s="1">
        <v>69.33</v>
      </c>
      <c r="H670" s="1">
        <v>2</v>
      </c>
      <c r="I670" s="1">
        <f t="shared" si="22"/>
        <v>6.9329999999999998</v>
      </c>
      <c r="J670">
        <f t="shared" si="21"/>
        <v>145.59299999999999</v>
      </c>
    </row>
    <row r="671" spans="1:10" x14ac:dyDescent="0.3">
      <c r="A671" s="1" t="s">
        <v>525</v>
      </c>
      <c r="B671" s="1" t="s">
        <v>694</v>
      </c>
      <c r="C671" s="1" t="s">
        <v>16</v>
      </c>
      <c r="D671" s="1" t="s">
        <v>17</v>
      </c>
      <c r="E671" s="1" t="s">
        <v>13</v>
      </c>
      <c r="F671" s="1" t="s">
        <v>27</v>
      </c>
      <c r="G671" s="1">
        <v>99.37</v>
      </c>
      <c r="H671" s="1">
        <v>2</v>
      </c>
      <c r="I671" s="1">
        <f t="shared" si="22"/>
        <v>9.9370000000000012</v>
      </c>
      <c r="J671">
        <f t="shared" si="21"/>
        <v>208.67700000000002</v>
      </c>
    </row>
    <row r="672" spans="1:10" x14ac:dyDescent="0.3">
      <c r="A672" s="1" t="s">
        <v>525</v>
      </c>
      <c r="B672" s="1" t="s">
        <v>695</v>
      </c>
      <c r="C672" s="1" t="s">
        <v>16</v>
      </c>
      <c r="D672" s="1" t="s">
        <v>17</v>
      </c>
      <c r="E672" s="1" t="s">
        <v>13</v>
      </c>
      <c r="F672" s="1" t="s">
        <v>19</v>
      </c>
      <c r="G672" s="1">
        <v>74.790000000000006</v>
      </c>
      <c r="H672" s="1">
        <v>5</v>
      </c>
      <c r="I672" s="1">
        <f t="shared" si="22"/>
        <v>18.697500000000002</v>
      </c>
      <c r="J672">
        <f t="shared" si="21"/>
        <v>392.64750000000004</v>
      </c>
    </row>
    <row r="673" spans="1:10" x14ac:dyDescent="0.3">
      <c r="A673" s="1" t="s">
        <v>525</v>
      </c>
      <c r="B673" s="1" t="s">
        <v>696</v>
      </c>
      <c r="C673" s="1" t="s">
        <v>16</v>
      </c>
      <c r="D673" s="1" t="s">
        <v>17</v>
      </c>
      <c r="E673" s="1" t="s">
        <v>13</v>
      </c>
      <c r="F673" s="1" t="s">
        <v>14</v>
      </c>
      <c r="G673" s="1">
        <v>44.07</v>
      </c>
      <c r="H673" s="1">
        <v>4</v>
      </c>
      <c r="I673" s="1">
        <f t="shared" si="22"/>
        <v>8.8140000000000001</v>
      </c>
      <c r="J673">
        <f t="shared" si="21"/>
        <v>185.09399999999999</v>
      </c>
    </row>
    <row r="674" spans="1:10" x14ac:dyDescent="0.3">
      <c r="A674" s="1" t="s">
        <v>525</v>
      </c>
      <c r="B674" s="1" t="s">
        <v>697</v>
      </c>
      <c r="C674" s="1" t="s">
        <v>11</v>
      </c>
      <c r="D674" s="1" t="s">
        <v>12</v>
      </c>
      <c r="E674" s="1" t="s">
        <v>18</v>
      </c>
      <c r="F674" s="1" t="s">
        <v>14</v>
      </c>
      <c r="G674" s="1">
        <v>15.26</v>
      </c>
      <c r="H674" s="1">
        <v>6</v>
      </c>
      <c r="I674" s="1">
        <f t="shared" si="22"/>
        <v>4.5780000000000003</v>
      </c>
      <c r="J674">
        <f t="shared" si="21"/>
        <v>96.138000000000005</v>
      </c>
    </row>
    <row r="675" spans="1:10" x14ac:dyDescent="0.3">
      <c r="A675" s="1" t="s">
        <v>525</v>
      </c>
      <c r="B675" s="1" t="s">
        <v>698</v>
      </c>
      <c r="C675" s="1" t="s">
        <v>11</v>
      </c>
      <c r="D675" s="1" t="s">
        <v>12</v>
      </c>
      <c r="E675" s="1" t="s">
        <v>18</v>
      </c>
      <c r="F675" s="1" t="s">
        <v>22</v>
      </c>
      <c r="G675" s="1">
        <v>21.52</v>
      </c>
      <c r="H675" s="1">
        <v>6</v>
      </c>
      <c r="I675" s="1">
        <f t="shared" si="22"/>
        <v>6.4560000000000004</v>
      </c>
      <c r="J675">
        <f t="shared" si="21"/>
        <v>135.57599999999999</v>
      </c>
    </row>
    <row r="676" spans="1:10" x14ac:dyDescent="0.3">
      <c r="A676" s="1" t="s">
        <v>525</v>
      </c>
      <c r="B676" s="1" t="s">
        <v>699</v>
      </c>
      <c r="C676" s="1" t="s">
        <v>25</v>
      </c>
      <c r="D676" s="1" t="s">
        <v>26</v>
      </c>
      <c r="E676" s="1" t="s">
        <v>18</v>
      </c>
      <c r="F676" s="1" t="s">
        <v>33</v>
      </c>
      <c r="G676" s="1">
        <v>97.74</v>
      </c>
      <c r="H676" s="1">
        <v>4</v>
      </c>
      <c r="I676" s="1">
        <f t="shared" si="22"/>
        <v>19.548000000000002</v>
      </c>
      <c r="J676">
        <f t="shared" si="21"/>
        <v>410.50799999999998</v>
      </c>
    </row>
    <row r="677" spans="1:10" x14ac:dyDescent="0.3">
      <c r="A677" s="1" t="s">
        <v>525</v>
      </c>
      <c r="B677" s="1" t="s">
        <v>700</v>
      </c>
      <c r="C677" s="1" t="s">
        <v>11</v>
      </c>
      <c r="D677" s="1" t="s">
        <v>12</v>
      </c>
      <c r="E677" s="1" t="s">
        <v>13</v>
      </c>
      <c r="F677" s="1" t="s">
        <v>27</v>
      </c>
      <c r="G677" s="1">
        <v>99.78</v>
      </c>
      <c r="H677" s="1">
        <v>5</v>
      </c>
      <c r="I677" s="1">
        <f t="shared" si="22"/>
        <v>24.945</v>
      </c>
      <c r="J677">
        <f t="shared" si="21"/>
        <v>523.84500000000003</v>
      </c>
    </row>
    <row r="678" spans="1:10" x14ac:dyDescent="0.3">
      <c r="A678" s="1" t="s">
        <v>525</v>
      </c>
      <c r="B678" s="1" t="s">
        <v>701</v>
      </c>
      <c r="C678" s="1" t="s">
        <v>16</v>
      </c>
      <c r="D678" s="1" t="s">
        <v>17</v>
      </c>
      <c r="E678" s="1" t="s">
        <v>13</v>
      </c>
      <c r="F678" s="1" t="s">
        <v>27</v>
      </c>
      <c r="G678" s="1">
        <v>94.26</v>
      </c>
      <c r="H678" s="1">
        <v>4</v>
      </c>
      <c r="I678" s="1">
        <f t="shared" si="22"/>
        <v>18.852</v>
      </c>
      <c r="J678">
        <f t="shared" si="21"/>
        <v>395.892</v>
      </c>
    </row>
    <row r="679" spans="1:10" x14ac:dyDescent="0.3">
      <c r="A679" s="1" t="s">
        <v>525</v>
      </c>
      <c r="B679" s="1" t="s">
        <v>702</v>
      </c>
      <c r="C679" s="1" t="s">
        <v>25</v>
      </c>
      <c r="D679" s="1" t="s">
        <v>26</v>
      </c>
      <c r="E679" s="1" t="s">
        <v>13</v>
      </c>
      <c r="F679" s="1" t="s">
        <v>14</v>
      </c>
      <c r="G679" s="1">
        <v>51.13</v>
      </c>
      <c r="H679" s="1">
        <v>4</v>
      </c>
      <c r="I679" s="1">
        <f t="shared" si="22"/>
        <v>10.226000000000001</v>
      </c>
      <c r="J679">
        <f t="shared" si="21"/>
        <v>214.74600000000001</v>
      </c>
    </row>
    <row r="680" spans="1:10" x14ac:dyDescent="0.3">
      <c r="A680" s="1" t="s">
        <v>525</v>
      </c>
      <c r="B680" s="1" t="s">
        <v>703</v>
      </c>
      <c r="C680" s="1" t="s">
        <v>11</v>
      </c>
      <c r="D680" s="1" t="s">
        <v>12</v>
      </c>
      <c r="E680" s="1" t="s">
        <v>13</v>
      </c>
      <c r="F680" s="1" t="s">
        <v>19</v>
      </c>
      <c r="G680" s="1">
        <v>36.36</v>
      </c>
      <c r="H680" s="1">
        <v>4</v>
      </c>
      <c r="I680" s="1">
        <f t="shared" si="22"/>
        <v>7.2720000000000002</v>
      </c>
      <c r="J680">
        <f t="shared" si="21"/>
        <v>152.71199999999999</v>
      </c>
    </row>
    <row r="681" spans="1:10" x14ac:dyDescent="0.3">
      <c r="A681" s="1" t="s">
        <v>525</v>
      </c>
      <c r="B681" s="1" t="s">
        <v>704</v>
      </c>
      <c r="C681" s="1" t="s">
        <v>25</v>
      </c>
      <c r="D681" s="1" t="s">
        <v>26</v>
      </c>
      <c r="E681" s="1" t="s">
        <v>18</v>
      </c>
      <c r="F681" s="1" t="s">
        <v>22</v>
      </c>
      <c r="G681" s="1">
        <v>22.02</v>
      </c>
      <c r="H681" s="1">
        <v>9</v>
      </c>
      <c r="I681" s="1">
        <f t="shared" si="22"/>
        <v>9.9090000000000007</v>
      </c>
      <c r="J681">
        <f t="shared" si="21"/>
        <v>208.089</v>
      </c>
    </row>
    <row r="682" spans="1:10" x14ac:dyDescent="0.3">
      <c r="A682" s="1" t="s">
        <v>525</v>
      </c>
      <c r="B682" s="1" t="s">
        <v>705</v>
      </c>
      <c r="C682" s="1" t="s">
        <v>11</v>
      </c>
      <c r="D682" s="1" t="s">
        <v>12</v>
      </c>
      <c r="E682" s="1" t="s">
        <v>18</v>
      </c>
      <c r="F682" s="1" t="s">
        <v>27</v>
      </c>
      <c r="G682" s="1">
        <v>32.9</v>
      </c>
      <c r="H682" s="1">
        <v>3</v>
      </c>
      <c r="I682" s="1">
        <f t="shared" si="22"/>
        <v>4.9349999999999996</v>
      </c>
      <c r="J682">
        <f t="shared" si="21"/>
        <v>103.63499999999999</v>
      </c>
    </row>
    <row r="683" spans="1:10" x14ac:dyDescent="0.3">
      <c r="A683" s="1" t="s">
        <v>525</v>
      </c>
      <c r="B683" s="1" t="s">
        <v>706</v>
      </c>
      <c r="C683" s="1" t="s">
        <v>11</v>
      </c>
      <c r="D683" s="1" t="s">
        <v>12</v>
      </c>
      <c r="E683" s="1" t="s">
        <v>18</v>
      </c>
      <c r="F683" s="1" t="s">
        <v>29</v>
      </c>
      <c r="G683" s="1">
        <v>77.02</v>
      </c>
      <c r="H683" s="1">
        <v>5</v>
      </c>
      <c r="I683" s="1">
        <f t="shared" si="22"/>
        <v>19.254999999999999</v>
      </c>
      <c r="J683">
        <f t="shared" si="21"/>
        <v>404.35499999999996</v>
      </c>
    </row>
    <row r="684" spans="1:10" x14ac:dyDescent="0.3">
      <c r="A684" s="1" t="s">
        <v>525</v>
      </c>
      <c r="B684" s="1" t="s">
        <v>707</v>
      </c>
      <c r="C684" s="1" t="s">
        <v>11</v>
      </c>
      <c r="D684" s="1" t="s">
        <v>12</v>
      </c>
      <c r="E684" s="1" t="s">
        <v>13</v>
      </c>
      <c r="F684" s="1" t="s">
        <v>27</v>
      </c>
      <c r="G684" s="1">
        <v>23.48</v>
      </c>
      <c r="H684" s="1">
        <v>2</v>
      </c>
      <c r="I684" s="1">
        <f t="shared" si="22"/>
        <v>2.3480000000000003</v>
      </c>
      <c r="J684">
        <f t="shared" si="21"/>
        <v>49.308</v>
      </c>
    </row>
    <row r="685" spans="1:10" x14ac:dyDescent="0.3">
      <c r="A685" s="1" t="s">
        <v>525</v>
      </c>
      <c r="B685" s="1" t="s">
        <v>708</v>
      </c>
      <c r="C685" s="1" t="s">
        <v>16</v>
      </c>
      <c r="D685" s="1" t="s">
        <v>17</v>
      </c>
      <c r="E685" s="1" t="s">
        <v>13</v>
      </c>
      <c r="F685" s="1" t="s">
        <v>33</v>
      </c>
      <c r="G685" s="1">
        <v>14.7</v>
      </c>
      <c r="H685" s="1">
        <v>5</v>
      </c>
      <c r="I685" s="1">
        <f t="shared" si="22"/>
        <v>3.6750000000000003</v>
      </c>
      <c r="J685">
        <f t="shared" si="21"/>
        <v>77.174999999999997</v>
      </c>
    </row>
    <row r="686" spans="1:10" x14ac:dyDescent="0.3">
      <c r="A686" s="1" t="s">
        <v>525</v>
      </c>
      <c r="B686" s="1" t="s">
        <v>709</v>
      </c>
      <c r="C686" s="1" t="s">
        <v>11</v>
      </c>
      <c r="D686" s="1" t="s">
        <v>12</v>
      </c>
      <c r="E686" s="1" t="s">
        <v>18</v>
      </c>
      <c r="F686" s="1" t="s">
        <v>29</v>
      </c>
      <c r="G686" s="1">
        <v>76.400000000000006</v>
      </c>
      <c r="H686" s="1">
        <v>9</v>
      </c>
      <c r="I686" s="1">
        <f t="shared" si="22"/>
        <v>34.380000000000003</v>
      </c>
      <c r="J686">
        <f t="shared" si="21"/>
        <v>721.98</v>
      </c>
    </row>
    <row r="687" spans="1:10" x14ac:dyDescent="0.3">
      <c r="A687" s="1" t="s">
        <v>525</v>
      </c>
      <c r="B687" s="1" t="s">
        <v>710</v>
      </c>
      <c r="C687" s="1" t="s">
        <v>25</v>
      </c>
      <c r="D687" s="1" t="s">
        <v>26</v>
      </c>
      <c r="E687" s="1" t="s">
        <v>13</v>
      </c>
      <c r="F687" s="1" t="s">
        <v>19</v>
      </c>
      <c r="G687" s="1">
        <v>48.09</v>
      </c>
      <c r="H687" s="1">
        <v>3</v>
      </c>
      <c r="I687" s="1">
        <f t="shared" si="22"/>
        <v>7.2135000000000007</v>
      </c>
      <c r="J687">
        <f t="shared" si="21"/>
        <v>151.48350000000002</v>
      </c>
    </row>
    <row r="688" spans="1:10" x14ac:dyDescent="0.3">
      <c r="A688" s="1" t="s">
        <v>525</v>
      </c>
      <c r="B688" s="1" t="s">
        <v>711</v>
      </c>
      <c r="C688" s="1" t="s">
        <v>11</v>
      </c>
      <c r="D688" s="1" t="s">
        <v>12</v>
      </c>
      <c r="E688" s="1" t="s">
        <v>18</v>
      </c>
      <c r="F688" s="1" t="s">
        <v>33</v>
      </c>
      <c r="G688" s="1">
        <v>44.65</v>
      </c>
      <c r="H688" s="1">
        <v>3</v>
      </c>
      <c r="I688" s="1">
        <f t="shared" si="22"/>
        <v>6.6974999999999998</v>
      </c>
      <c r="J688">
        <f t="shared" si="21"/>
        <v>140.64749999999998</v>
      </c>
    </row>
    <row r="689" spans="1:10" x14ac:dyDescent="0.3">
      <c r="A689" s="1" t="s">
        <v>525</v>
      </c>
      <c r="B689" s="1" t="s">
        <v>712</v>
      </c>
      <c r="C689" s="1" t="s">
        <v>11</v>
      </c>
      <c r="D689" s="1" t="s">
        <v>12</v>
      </c>
      <c r="E689" s="1" t="s">
        <v>13</v>
      </c>
      <c r="F689" s="1" t="s">
        <v>19</v>
      </c>
      <c r="G689" s="1">
        <v>71.95</v>
      </c>
      <c r="H689" s="1">
        <v>1</v>
      </c>
      <c r="I689" s="1">
        <f t="shared" si="22"/>
        <v>3.5975000000000001</v>
      </c>
      <c r="J689">
        <f t="shared" si="21"/>
        <v>75.547499999999999</v>
      </c>
    </row>
    <row r="690" spans="1:10" x14ac:dyDescent="0.3">
      <c r="A690" s="1" t="s">
        <v>525</v>
      </c>
      <c r="B690" s="1" t="s">
        <v>713</v>
      </c>
      <c r="C690" s="1" t="s">
        <v>11</v>
      </c>
      <c r="D690" s="1" t="s">
        <v>12</v>
      </c>
      <c r="E690" s="1" t="s">
        <v>18</v>
      </c>
      <c r="F690" s="1" t="s">
        <v>19</v>
      </c>
      <c r="G690" s="1">
        <v>26.02</v>
      </c>
      <c r="H690" s="1">
        <v>7</v>
      </c>
      <c r="I690" s="1">
        <f t="shared" si="22"/>
        <v>9.1069999999999993</v>
      </c>
      <c r="J690">
        <f t="shared" si="21"/>
        <v>191.24699999999999</v>
      </c>
    </row>
    <row r="691" spans="1:10" x14ac:dyDescent="0.3">
      <c r="A691" s="1" t="s">
        <v>525</v>
      </c>
      <c r="B691" s="1" t="s">
        <v>714</v>
      </c>
      <c r="C691" s="1" t="s">
        <v>11</v>
      </c>
      <c r="D691" s="1" t="s">
        <v>12</v>
      </c>
      <c r="E691" s="1" t="s">
        <v>18</v>
      </c>
      <c r="F691" s="1" t="s">
        <v>19</v>
      </c>
      <c r="G691" s="1">
        <v>51.69</v>
      </c>
      <c r="H691" s="1">
        <v>7</v>
      </c>
      <c r="I691" s="1">
        <f t="shared" si="22"/>
        <v>18.0915</v>
      </c>
      <c r="J691">
        <f t="shared" si="21"/>
        <v>379.92149999999998</v>
      </c>
    </row>
    <row r="692" spans="1:10" x14ac:dyDescent="0.3">
      <c r="A692" s="1" t="s">
        <v>525</v>
      </c>
      <c r="B692" s="1" t="s">
        <v>715</v>
      </c>
      <c r="C692" s="1" t="s">
        <v>25</v>
      </c>
      <c r="D692" s="1" t="s">
        <v>26</v>
      </c>
      <c r="E692" s="1" t="s">
        <v>13</v>
      </c>
      <c r="F692" s="1" t="s">
        <v>22</v>
      </c>
      <c r="G692" s="1">
        <v>27</v>
      </c>
      <c r="H692" s="1">
        <v>9</v>
      </c>
      <c r="I692" s="1">
        <f t="shared" si="22"/>
        <v>12.15</v>
      </c>
      <c r="J692">
        <f t="shared" si="21"/>
        <v>255.15</v>
      </c>
    </row>
    <row r="693" spans="1:10" x14ac:dyDescent="0.3">
      <c r="A693" s="1" t="s">
        <v>525</v>
      </c>
      <c r="B693" s="1" t="s">
        <v>716</v>
      </c>
      <c r="C693" s="1" t="s">
        <v>25</v>
      </c>
      <c r="D693" s="1" t="s">
        <v>26</v>
      </c>
      <c r="E693" s="1" t="s">
        <v>18</v>
      </c>
      <c r="F693" s="1" t="s">
        <v>19</v>
      </c>
      <c r="G693" s="1">
        <v>27.5</v>
      </c>
      <c r="H693" s="1">
        <v>3</v>
      </c>
      <c r="I693" s="1">
        <f t="shared" si="22"/>
        <v>4.125</v>
      </c>
      <c r="J693">
        <f t="shared" si="21"/>
        <v>86.625</v>
      </c>
    </row>
    <row r="694" spans="1:10" x14ac:dyDescent="0.3">
      <c r="A694" s="1" t="s">
        <v>525</v>
      </c>
      <c r="B694" s="1" t="s">
        <v>717</v>
      </c>
      <c r="C694" s="1" t="s">
        <v>25</v>
      </c>
      <c r="D694" s="1" t="s">
        <v>26</v>
      </c>
      <c r="E694" s="1" t="s">
        <v>18</v>
      </c>
      <c r="F694" s="1" t="s">
        <v>33</v>
      </c>
      <c r="G694" s="1">
        <v>74.97</v>
      </c>
      <c r="H694" s="1">
        <v>1</v>
      </c>
      <c r="I694" s="1">
        <f t="shared" si="22"/>
        <v>3.7484999999999999</v>
      </c>
      <c r="J694">
        <f t="shared" si="21"/>
        <v>78.718500000000006</v>
      </c>
    </row>
    <row r="695" spans="1:10" x14ac:dyDescent="0.3">
      <c r="A695" s="1" t="s">
        <v>525</v>
      </c>
      <c r="B695" s="1" t="s">
        <v>718</v>
      </c>
      <c r="C695" s="1" t="s">
        <v>11</v>
      </c>
      <c r="D695" s="1" t="s">
        <v>12</v>
      </c>
      <c r="E695" s="1" t="s">
        <v>13</v>
      </c>
      <c r="F695" s="1" t="s">
        <v>27</v>
      </c>
      <c r="G695" s="1">
        <v>80.959999999999994</v>
      </c>
      <c r="H695" s="1">
        <v>8</v>
      </c>
      <c r="I695" s="1">
        <f t="shared" si="22"/>
        <v>32.384</v>
      </c>
      <c r="J695">
        <f t="shared" si="21"/>
        <v>680.06399999999996</v>
      </c>
    </row>
    <row r="696" spans="1:10" x14ac:dyDescent="0.3">
      <c r="A696" s="1" t="s">
        <v>525</v>
      </c>
      <c r="B696" s="1" t="s">
        <v>719</v>
      </c>
      <c r="C696" s="1" t="s">
        <v>16</v>
      </c>
      <c r="D696" s="1" t="s">
        <v>17</v>
      </c>
      <c r="E696" s="1" t="s">
        <v>18</v>
      </c>
      <c r="F696" s="1" t="s">
        <v>27</v>
      </c>
      <c r="G696" s="1">
        <v>99.79</v>
      </c>
      <c r="H696" s="1">
        <v>2</v>
      </c>
      <c r="I696" s="1">
        <f t="shared" si="22"/>
        <v>9.979000000000001</v>
      </c>
      <c r="J696">
        <f t="shared" si="21"/>
        <v>209.55900000000003</v>
      </c>
    </row>
    <row r="697" spans="1:10" x14ac:dyDescent="0.3">
      <c r="A697" s="1" t="s">
        <v>525</v>
      </c>
      <c r="B697" s="1" t="s">
        <v>720</v>
      </c>
      <c r="C697" s="1" t="s">
        <v>11</v>
      </c>
      <c r="D697" s="1" t="s">
        <v>12</v>
      </c>
      <c r="E697" s="1" t="s">
        <v>18</v>
      </c>
      <c r="F697" s="1" t="s">
        <v>22</v>
      </c>
      <c r="G697" s="1">
        <v>73.22</v>
      </c>
      <c r="H697" s="1">
        <v>6</v>
      </c>
      <c r="I697" s="1">
        <f t="shared" si="22"/>
        <v>21.966000000000001</v>
      </c>
      <c r="J697">
        <f t="shared" si="21"/>
        <v>461.286</v>
      </c>
    </row>
    <row r="698" spans="1:10" x14ac:dyDescent="0.3">
      <c r="A698" s="1" t="s">
        <v>525</v>
      </c>
      <c r="B698" s="1" t="s">
        <v>721</v>
      </c>
      <c r="C698" s="1" t="s">
        <v>11</v>
      </c>
      <c r="D698" s="1" t="s">
        <v>12</v>
      </c>
      <c r="E698" s="1" t="s">
        <v>13</v>
      </c>
      <c r="F698" s="1" t="s">
        <v>22</v>
      </c>
      <c r="G698" s="1">
        <v>65.94</v>
      </c>
      <c r="H698" s="1">
        <v>4</v>
      </c>
      <c r="I698" s="1">
        <f t="shared" si="22"/>
        <v>13.188000000000001</v>
      </c>
      <c r="J698">
        <f t="shared" si="21"/>
        <v>276.94799999999998</v>
      </c>
    </row>
    <row r="699" spans="1:10" x14ac:dyDescent="0.3">
      <c r="A699" s="1" t="s">
        <v>525</v>
      </c>
      <c r="B699" s="1" t="s">
        <v>722</v>
      </c>
      <c r="C699" s="1" t="s">
        <v>11</v>
      </c>
      <c r="D699" s="1" t="s">
        <v>12</v>
      </c>
      <c r="E699" s="1" t="s">
        <v>13</v>
      </c>
      <c r="F699" s="1" t="s">
        <v>19</v>
      </c>
      <c r="G699" s="1">
        <v>21.5</v>
      </c>
      <c r="H699" s="1">
        <v>9</v>
      </c>
      <c r="I699" s="1">
        <f t="shared" si="22"/>
        <v>9.6750000000000007</v>
      </c>
      <c r="J699">
        <f t="shared" si="21"/>
        <v>203.17500000000001</v>
      </c>
    </row>
    <row r="700" spans="1:10" x14ac:dyDescent="0.3">
      <c r="A700" s="1" t="s">
        <v>525</v>
      </c>
      <c r="B700" s="1" t="s">
        <v>723</v>
      </c>
      <c r="C700" s="1" t="s">
        <v>16</v>
      </c>
      <c r="D700" s="1" t="s">
        <v>17</v>
      </c>
      <c r="E700" s="1" t="s">
        <v>18</v>
      </c>
      <c r="F700" s="1" t="s">
        <v>29</v>
      </c>
      <c r="G700" s="1">
        <v>42.08</v>
      </c>
      <c r="H700" s="1">
        <v>6</v>
      </c>
      <c r="I700" s="1">
        <f t="shared" si="22"/>
        <v>12.624000000000001</v>
      </c>
      <c r="J700">
        <f t="shared" si="21"/>
        <v>265.10399999999998</v>
      </c>
    </row>
    <row r="701" spans="1:10" x14ac:dyDescent="0.3">
      <c r="A701" s="1" t="s">
        <v>525</v>
      </c>
      <c r="B701" s="1" t="s">
        <v>724</v>
      </c>
      <c r="C701" s="1" t="s">
        <v>16</v>
      </c>
      <c r="D701" s="1" t="s">
        <v>17</v>
      </c>
      <c r="E701" s="1" t="s">
        <v>18</v>
      </c>
      <c r="F701" s="1" t="s">
        <v>33</v>
      </c>
      <c r="G701" s="1">
        <v>95.49</v>
      </c>
      <c r="H701" s="1">
        <v>7</v>
      </c>
      <c r="I701" s="1">
        <f t="shared" si="22"/>
        <v>33.421500000000002</v>
      </c>
      <c r="J701">
        <f t="shared" si="21"/>
        <v>701.85149999999999</v>
      </c>
    </row>
    <row r="702" spans="1:10" x14ac:dyDescent="0.3">
      <c r="A702" s="1" t="s">
        <v>525</v>
      </c>
      <c r="B702" s="1" t="s">
        <v>725</v>
      </c>
      <c r="C702" s="1" t="s">
        <v>16</v>
      </c>
      <c r="D702" s="1" t="s">
        <v>17</v>
      </c>
      <c r="E702" s="1" t="s">
        <v>13</v>
      </c>
      <c r="F702" s="1" t="s">
        <v>29</v>
      </c>
      <c r="G702" s="1">
        <v>96.98</v>
      </c>
      <c r="H702" s="1">
        <v>4</v>
      </c>
      <c r="I702" s="1">
        <f t="shared" si="22"/>
        <v>19.396000000000001</v>
      </c>
      <c r="J702">
        <f t="shared" si="21"/>
        <v>407.31600000000003</v>
      </c>
    </row>
    <row r="703" spans="1:10" x14ac:dyDescent="0.3">
      <c r="A703" s="1" t="s">
        <v>525</v>
      </c>
      <c r="B703" s="1" t="s">
        <v>726</v>
      </c>
      <c r="C703" s="1" t="s">
        <v>11</v>
      </c>
      <c r="D703" s="1" t="s">
        <v>12</v>
      </c>
      <c r="E703" s="1" t="s">
        <v>13</v>
      </c>
      <c r="F703" s="1" t="s">
        <v>33</v>
      </c>
      <c r="G703" s="1">
        <v>82.33</v>
      </c>
      <c r="H703" s="1">
        <v>4</v>
      </c>
      <c r="I703" s="1">
        <f t="shared" si="22"/>
        <v>16.466000000000001</v>
      </c>
      <c r="J703">
        <f t="shared" si="21"/>
        <v>345.786</v>
      </c>
    </row>
    <row r="704" spans="1:10" x14ac:dyDescent="0.3">
      <c r="A704" s="1" t="s">
        <v>525</v>
      </c>
      <c r="B704" s="1" t="s">
        <v>727</v>
      </c>
      <c r="C704" s="1" t="s">
        <v>25</v>
      </c>
      <c r="D704" s="1" t="s">
        <v>26</v>
      </c>
      <c r="E704" s="1" t="s">
        <v>13</v>
      </c>
      <c r="F704" s="1" t="s">
        <v>33</v>
      </c>
      <c r="G704" s="1">
        <v>75.819999999999993</v>
      </c>
      <c r="H704" s="1">
        <v>1</v>
      </c>
      <c r="I704" s="1">
        <f t="shared" si="22"/>
        <v>3.7909999999999999</v>
      </c>
      <c r="J704">
        <f t="shared" si="21"/>
        <v>79.61099999999999</v>
      </c>
    </row>
    <row r="705" spans="1:10" x14ac:dyDescent="0.3">
      <c r="A705" s="1" t="s">
        <v>525</v>
      </c>
      <c r="B705" s="1" t="s">
        <v>728</v>
      </c>
      <c r="C705" s="1" t="s">
        <v>16</v>
      </c>
      <c r="D705" s="1" t="s">
        <v>17</v>
      </c>
      <c r="E705" s="1" t="s">
        <v>18</v>
      </c>
      <c r="F705" s="1" t="s">
        <v>27</v>
      </c>
      <c r="G705" s="1">
        <v>46.77</v>
      </c>
      <c r="H705" s="1">
        <v>6</v>
      </c>
      <c r="I705" s="1">
        <f t="shared" si="22"/>
        <v>14.031000000000001</v>
      </c>
      <c r="J705">
        <f t="shared" si="21"/>
        <v>294.65100000000001</v>
      </c>
    </row>
    <row r="706" spans="1:10" x14ac:dyDescent="0.3">
      <c r="A706" s="1" t="s">
        <v>525</v>
      </c>
      <c r="B706" s="1" t="s">
        <v>729</v>
      </c>
      <c r="C706" s="1" t="s">
        <v>25</v>
      </c>
      <c r="D706" s="1" t="s">
        <v>26</v>
      </c>
      <c r="E706" s="1" t="s">
        <v>18</v>
      </c>
      <c r="F706" s="1" t="s">
        <v>27</v>
      </c>
      <c r="G706" s="1">
        <v>18.22</v>
      </c>
      <c r="H706" s="1">
        <v>7</v>
      </c>
      <c r="I706" s="1">
        <f t="shared" si="22"/>
        <v>6.3769999999999998</v>
      </c>
      <c r="J706">
        <f t="shared" si="21"/>
        <v>133.917</v>
      </c>
    </row>
    <row r="707" spans="1:10" x14ac:dyDescent="0.3">
      <c r="A707" s="1" t="s">
        <v>525</v>
      </c>
      <c r="B707" s="1" t="s">
        <v>730</v>
      </c>
      <c r="C707" s="1" t="s">
        <v>11</v>
      </c>
      <c r="D707" s="1" t="s">
        <v>12</v>
      </c>
      <c r="E707" s="1" t="s">
        <v>13</v>
      </c>
      <c r="F707" s="1" t="s">
        <v>19</v>
      </c>
      <c r="G707" s="1">
        <v>76.819999999999993</v>
      </c>
      <c r="H707" s="1">
        <v>1</v>
      </c>
      <c r="I707" s="1">
        <f t="shared" si="22"/>
        <v>3.8409999999999997</v>
      </c>
      <c r="J707">
        <f t="shared" ref="J707:J770" si="23">(G707*H707)+I707</f>
        <v>80.660999999999987</v>
      </c>
    </row>
    <row r="708" spans="1:10" x14ac:dyDescent="0.3">
      <c r="A708" s="1" t="s">
        <v>525</v>
      </c>
      <c r="B708" s="1" t="s">
        <v>731</v>
      </c>
      <c r="C708" s="1" t="s">
        <v>25</v>
      </c>
      <c r="D708" s="1" t="s">
        <v>26</v>
      </c>
      <c r="E708" s="1" t="s">
        <v>18</v>
      </c>
      <c r="F708" s="1" t="s">
        <v>22</v>
      </c>
      <c r="G708" s="1">
        <v>13.59</v>
      </c>
      <c r="H708" s="1">
        <v>9</v>
      </c>
      <c r="I708" s="1">
        <f t="shared" si="22"/>
        <v>6.1155000000000008</v>
      </c>
      <c r="J708">
        <f t="shared" si="23"/>
        <v>128.4255</v>
      </c>
    </row>
    <row r="709" spans="1:10" x14ac:dyDescent="0.3">
      <c r="A709" s="1" t="s">
        <v>525</v>
      </c>
      <c r="B709" s="1" t="s">
        <v>732</v>
      </c>
      <c r="C709" s="1" t="s">
        <v>25</v>
      </c>
      <c r="D709" s="1" t="s">
        <v>26</v>
      </c>
      <c r="E709" s="1" t="s">
        <v>13</v>
      </c>
      <c r="F709" s="1" t="s">
        <v>19</v>
      </c>
      <c r="G709" s="1">
        <v>19.239999999999998</v>
      </c>
      <c r="H709" s="1">
        <v>9</v>
      </c>
      <c r="I709" s="1">
        <f t="shared" si="22"/>
        <v>8.6579999999999995</v>
      </c>
      <c r="J709">
        <f t="shared" si="23"/>
        <v>181.81799999999998</v>
      </c>
    </row>
    <row r="710" spans="1:10" x14ac:dyDescent="0.3">
      <c r="A710" s="1" t="s">
        <v>525</v>
      </c>
      <c r="B710" s="1" t="s">
        <v>733</v>
      </c>
      <c r="C710" s="1" t="s">
        <v>16</v>
      </c>
      <c r="D710" s="1" t="s">
        <v>17</v>
      </c>
      <c r="E710" s="1" t="s">
        <v>18</v>
      </c>
      <c r="F710" s="1" t="s">
        <v>22</v>
      </c>
      <c r="G710" s="1">
        <v>46.22</v>
      </c>
      <c r="H710" s="1">
        <v>4</v>
      </c>
      <c r="I710" s="1">
        <f t="shared" si="22"/>
        <v>9.2439999999999998</v>
      </c>
      <c r="J710">
        <f t="shared" si="23"/>
        <v>194.124</v>
      </c>
    </row>
    <row r="711" spans="1:10" x14ac:dyDescent="0.3">
      <c r="A711" s="1" t="s">
        <v>525</v>
      </c>
      <c r="B711" s="1" t="s">
        <v>734</v>
      </c>
      <c r="C711" s="1" t="s">
        <v>16</v>
      </c>
      <c r="D711" s="1" t="s">
        <v>17</v>
      </c>
      <c r="E711" s="1" t="s">
        <v>13</v>
      </c>
      <c r="F711" s="1" t="s">
        <v>22</v>
      </c>
      <c r="G711" s="1">
        <v>13.98</v>
      </c>
      <c r="H711" s="1">
        <v>1</v>
      </c>
      <c r="I711" s="1">
        <f t="shared" si="22"/>
        <v>0.69900000000000007</v>
      </c>
      <c r="J711">
        <f t="shared" si="23"/>
        <v>14.679</v>
      </c>
    </row>
    <row r="712" spans="1:10" x14ac:dyDescent="0.3">
      <c r="A712" s="1" t="s">
        <v>525</v>
      </c>
      <c r="B712" s="1" t="s">
        <v>735</v>
      </c>
      <c r="C712" s="1" t="s">
        <v>11</v>
      </c>
      <c r="D712" s="1" t="s">
        <v>12</v>
      </c>
      <c r="E712" s="1" t="s">
        <v>13</v>
      </c>
      <c r="F712" s="1" t="s">
        <v>33</v>
      </c>
      <c r="G712" s="1">
        <v>67.260000000000005</v>
      </c>
      <c r="H712" s="1">
        <v>4</v>
      </c>
      <c r="I712" s="1">
        <f t="shared" si="22"/>
        <v>13.452000000000002</v>
      </c>
      <c r="J712">
        <f t="shared" si="23"/>
        <v>282.49200000000002</v>
      </c>
    </row>
    <row r="713" spans="1:10" x14ac:dyDescent="0.3">
      <c r="A713" s="1" t="s">
        <v>525</v>
      </c>
      <c r="B713" s="1" t="s">
        <v>736</v>
      </c>
      <c r="C713" s="1" t="s">
        <v>11</v>
      </c>
      <c r="D713" s="1" t="s">
        <v>12</v>
      </c>
      <c r="E713" s="1" t="s">
        <v>18</v>
      </c>
      <c r="F713" s="1" t="s">
        <v>27</v>
      </c>
      <c r="G713" s="1">
        <v>13.79</v>
      </c>
      <c r="H713" s="1">
        <v>5</v>
      </c>
      <c r="I713" s="1">
        <f t="shared" si="22"/>
        <v>3.4474999999999998</v>
      </c>
      <c r="J713">
        <f t="shared" si="23"/>
        <v>72.397499999999994</v>
      </c>
    </row>
    <row r="714" spans="1:10" x14ac:dyDescent="0.3">
      <c r="A714" s="1" t="s">
        <v>525</v>
      </c>
      <c r="B714" s="1" t="s">
        <v>737</v>
      </c>
      <c r="C714" s="1" t="s">
        <v>25</v>
      </c>
      <c r="D714" s="1" t="s">
        <v>26</v>
      </c>
      <c r="E714" s="1" t="s">
        <v>18</v>
      </c>
      <c r="F714" s="1" t="s">
        <v>33</v>
      </c>
      <c r="G714" s="1">
        <v>21.87</v>
      </c>
      <c r="H714" s="1">
        <v>2</v>
      </c>
      <c r="I714" s="1">
        <f t="shared" si="22"/>
        <v>2.1870000000000003</v>
      </c>
      <c r="J714">
        <f t="shared" si="23"/>
        <v>45.927</v>
      </c>
    </row>
    <row r="715" spans="1:10" x14ac:dyDescent="0.3">
      <c r="A715" s="1" t="s">
        <v>525</v>
      </c>
      <c r="B715" s="1" t="s">
        <v>738</v>
      </c>
      <c r="C715" s="1" t="s">
        <v>11</v>
      </c>
      <c r="D715" s="1" t="s">
        <v>12</v>
      </c>
      <c r="E715" s="1" t="s">
        <v>13</v>
      </c>
      <c r="F715" s="1" t="s">
        <v>14</v>
      </c>
      <c r="G715" s="1">
        <v>20.97</v>
      </c>
      <c r="H715" s="1">
        <v>5</v>
      </c>
      <c r="I715" s="1">
        <f t="shared" si="22"/>
        <v>5.2424999999999997</v>
      </c>
      <c r="J715">
        <f t="shared" si="23"/>
        <v>110.0925</v>
      </c>
    </row>
    <row r="716" spans="1:10" x14ac:dyDescent="0.3">
      <c r="A716" s="1" t="s">
        <v>525</v>
      </c>
      <c r="B716" s="1" t="s">
        <v>739</v>
      </c>
      <c r="C716" s="1" t="s">
        <v>11</v>
      </c>
      <c r="D716" s="1" t="s">
        <v>12</v>
      </c>
      <c r="E716" s="1" t="s">
        <v>18</v>
      </c>
      <c r="F716" s="1" t="s">
        <v>33</v>
      </c>
      <c r="G716" s="1">
        <v>25.84</v>
      </c>
      <c r="H716" s="1">
        <v>3</v>
      </c>
      <c r="I716" s="1">
        <f t="shared" si="22"/>
        <v>3.8759999999999999</v>
      </c>
      <c r="J716">
        <f t="shared" si="23"/>
        <v>81.396000000000001</v>
      </c>
    </row>
    <row r="717" spans="1:10" x14ac:dyDescent="0.3">
      <c r="A717" s="1" t="s">
        <v>525</v>
      </c>
      <c r="B717" s="1" t="s">
        <v>740</v>
      </c>
      <c r="C717" s="1" t="s">
        <v>11</v>
      </c>
      <c r="D717" s="1" t="s">
        <v>12</v>
      </c>
      <c r="E717" s="1" t="s">
        <v>18</v>
      </c>
      <c r="F717" s="1" t="s">
        <v>22</v>
      </c>
      <c r="G717" s="1">
        <v>50.93</v>
      </c>
      <c r="H717" s="1">
        <v>8</v>
      </c>
      <c r="I717" s="1">
        <f t="shared" si="22"/>
        <v>20.372</v>
      </c>
      <c r="J717">
        <f t="shared" si="23"/>
        <v>427.81200000000001</v>
      </c>
    </row>
    <row r="718" spans="1:10" x14ac:dyDescent="0.3">
      <c r="A718" s="1" t="s">
        <v>525</v>
      </c>
      <c r="B718" s="1" t="s">
        <v>741</v>
      </c>
      <c r="C718" s="1" t="s">
        <v>25</v>
      </c>
      <c r="D718" s="1" t="s">
        <v>26</v>
      </c>
      <c r="E718" s="1" t="s">
        <v>18</v>
      </c>
      <c r="F718" s="1" t="s">
        <v>14</v>
      </c>
      <c r="G718" s="1">
        <v>96.11</v>
      </c>
      <c r="H718" s="1">
        <v>1</v>
      </c>
      <c r="I718" s="1">
        <f t="shared" si="22"/>
        <v>4.8055000000000003</v>
      </c>
      <c r="J718">
        <f t="shared" si="23"/>
        <v>100.91549999999999</v>
      </c>
    </row>
    <row r="719" spans="1:10" x14ac:dyDescent="0.3">
      <c r="A719" s="1" t="s">
        <v>525</v>
      </c>
      <c r="B719" s="1" t="s">
        <v>742</v>
      </c>
      <c r="C719" s="1" t="s">
        <v>25</v>
      </c>
      <c r="D719" s="1" t="s">
        <v>26</v>
      </c>
      <c r="E719" s="1" t="s">
        <v>13</v>
      </c>
      <c r="F719" s="1" t="s">
        <v>29</v>
      </c>
      <c r="G719" s="1">
        <v>25.42</v>
      </c>
      <c r="H719" s="1">
        <v>8</v>
      </c>
      <c r="I719" s="1">
        <f t="shared" si="22"/>
        <v>10.168000000000001</v>
      </c>
      <c r="J719">
        <f t="shared" si="23"/>
        <v>213.52800000000002</v>
      </c>
    </row>
    <row r="720" spans="1:10" x14ac:dyDescent="0.3">
      <c r="A720" s="1" t="s">
        <v>525</v>
      </c>
      <c r="B720" s="1" t="s">
        <v>743</v>
      </c>
      <c r="C720" s="1" t="s">
        <v>16</v>
      </c>
      <c r="D720" s="1" t="s">
        <v>17</v>
      </c>
      <c r="E720" s="1" t="s">
        <v>18</v>
      </c>
      <c r="F720" s="1" t="s">
        <v>29</v>
      </c>
      <c r="G720" s="1">
        <v>16.28</v>
      </c>
      <c r="H720" s="1">
        <v>1</v>
      </c>
      <c r="I720" s="1">
        <f t="shared" si="22"/>
        <v>0.81400000000000006</v>
      </c>
      <c r="J720">
        <f t="shared" si="23"/>
        <v>17.094000000000001</v>
      </c>
    </row>
    <row r="721" spans="1:10" x14ac:dyDescent="0.3">
      <c r="A721" s="1" t="s">
        <v>525</v>
      </c>
      <c r="B721" s="1" t="s">
        <v>744</v>
      </c>
      <c r="C721" s="1" t="s">
        <v>25</v>
      </c>
      <c r="D721" s="1" t="s">
        <v>26</v>
      </c>
      <c r="E721" s="1" t="s">
        <v>13</v>
      </c>
      <c r="F721" s="1" t="s">
        <v>29</v>
      </c>
      <c r="G721" s="1">
        <v>40.61</v>
      </c>
      <c r="H721" s="1">
        <v>9</v>
      </c>
      <c r="I721" s="1">
        <f t="shared" si="22"/>
        <v>18.2745</v>
      </c>
      <c r="J721">
        <f t="shared" si="23"/>
        <v>383.7645</v>
      </c>
    </row>
    <row r="722" spans="1:10" x14ac:dyDescent="0.3">
      <c r="A722" s="1" t="s">
        <v>525</v>
      </c>
      <c r="B722" s="1" t="s">
        <v>745</v>
      </c>
      <c r="C722" s="1" t="s">
        <v>11</v>
      </c>
      <c r="D722" s="1" t="s">
        <v>12</v>
      </c>
      <c r="E722" s="1" t="s">
        <v>13</v>
      </c>
      <c r="F722" s="1" t="s">
        <v>14</v>
      </c>
      <c r="G722" s="1">
        <v>53.17</v>
      </c>
      <c r="H722" s="1">
        <v>7</v>
      </c>
      <c r="I722" s="1">
        <f t="shared" si="22"/>
        <v>18.609500000000001</v>
      </c>
      <c r="J722">
        <f t="shared" si="23"/>
        <v>390.79950000000002</v>
      </c>
    </row>
    <row r="723" spans="1:10" x14ac:dyDescent="0.3">
      <c r="A723" s="1" t="s">
        <v>525</v>
      </c>
      <c r="B723" s="1" t="s">
        <v>746</v>
      </c>
      <c r="C723" s="1" t="s">
        <v>25</v>
      </c>
      <c r="D723" s="1" t="s">
        <v>26</v>
      </c>
      <c r="E723" s="1" t="s">
        <v>18</v>
      </c>
      <c r="F723" s="1" t="s">
        <v>33</v>
      </c>
      <c r="G723" s="1">
        <v>67.27</v>
      </c>
      <c r="H723" s="1">
        <v>5</v>
      </c>
      <c r="I723" s="1">
        <f t="shared" si="22"/>
        <v>16.817499999999999</v>
      </c>
      <c r="J723">
        <f t="shared" si="23"/>
        <v>353.16749999999996</v>
      </c>
    </row>
    <row r="724" spans="1:10" x14ac:dyDescent="0.3">
      <c r="A724" s="1" t="s">
        <v>525</v>
      </c>
      <c r="B724" s="1" t="s">
        <v>747</v>
      </c>
      <c r="C724" s="1" t="s">
        <v>25</v>
      </c>
      <c r="D724" s="1" t="s">
        <v>26</v>
      </c>
      <c r="E724" s="1" t="s">
        <v>18</v>
      </c>
      <c r="F724" s="1" t="s">
        <v>29</v>
      </c>
      <c r="G724" s="1">
        <v>69.08</v>
      </c>
      <c r="H724" s="1">
        <v>2</v>
      </c>
      <c r="I724" s="1">
        <f t="shared" si="22"/>
        <v>6.9080000000000004</v>
      </c>
      <c r="J724">
        <f t="shared" si="23"/>
        <v>145.06799999999998</v>
      </c>
    </row>
    <row r="725" spans="1:10" x14ac:dyDescent="0.3">
      <c r="A725" s="1" t="s">
        <v>525</v>
      </c>
      <c r="B725" s="1" t="s">
        <v>748</v>
      </c>
      <c r="C725" s="1" t="s">
        <v>16</v>
      </c>
      <c r="D725" s="1" t="s">
        <v>17</v>
      </c>
      <c r="E725" s="1" t="s">
        <v>18</v>
      </c>
      <c r="F725" s="1" t="s">
        <v>27</v>
      </c>
      <c r="G725" s="1">
        <v>43.27</v>
      </c>
      <c r="H725" s="1">
        <v>2</v>
      </c>
      <c r="I725" s="1">
        <f t="shared" si="22"/>
        <v>4.3270000000000008</v>
      </c>
      <c r="J725">
        <f t="shared" si="23"/>
        <v>90.867000000000004</v>
      </c>
    </row>
    <row r="726" spans="1:10" x14ac:dyDescent="0.3">
      <c r="A726" s="1" t="s">
        <v>525</v>
      </c>
      <c r="B726" s="1" t="s">
        <v>749</v>
      </c>
      <c r="C726" s="1" t="s">
        <v>25</v>
      </c>
      <c r="D726" s="1" t="s">
        <v>26</v>
      </c>
      <c r="E726" s="1" t="s">
        <v>18</v>
      </c>
      <c r="F726" s="1" t="s">
        <v>29</v>
      </c>
      <c r="G726" s="1">
        <v>95.54</v>
      </c>
      <c r="H726" s="1">
        <v>7</v>
      </c>
      <c r="I726" s="1">
        <f t="shared" si="22"/>
        <v>33.439000000000007</v>
      </c>
      <c r="J726">
        <f t="shared" si="23"/>
        <v>702.21900000000005</v>
      </c>
    </row>
    <row r="727" spans="1:10" x14ac:dyDescent="0.3">
      <c r="A727" s="1" t="s">
        <v>525</v>
      </c>
      <c r="B727" s="1" t="s">
        <v>750</v>
      </c>
      <c r="C727" s="1" t="s">
        <v>16</v>
      </c>
      <c r="D727" s="1" t="s">
        <v>17</v>
      </c>
      <c r="E727" s="1" t="s">
        <v>18</v>
      </c>
      <c r="F727" s="1" t="s">
        <v>33</v>
      </c>
      <c r="G727" s="1">
        <v>99.24</v>
      </c>
      <c r="H727" s="1">
        <v>9</v>
      </c>
      <c r="I727" s="1">
        <f t="shared" si="22"/>
        <v>44.658000000000001</v>
      </c>
      <c r="J727">
        <f t="shared" si="23"/>
        <v>937.81799999999998</v>
      </c>
    </row>
    <row r="728" spans="1:10" x14ac:dyDescent="0.3">
      <c r="A728" s="1" t="s">
        <v>525</v>
      </c>
      <c r="B728" s="1" t="s">
        <v>751</v>
      </c>
      <c r="C728" s="1" t="s">
        <v>16</v>
      </c>
      <c r="D728" s="1" t="s">
        <v>17</v>
      </c>
      <c r="E728" s="1" t="s">
        <v>13</v>
      </c>
      <c r="F728" s="1" t="s">
        <v>33</v>
      </c>
      <c r="G728" s="1">
        <v>82.93</v>
      </c>
      <c r="H728" s="1">
        <v>4</v>
      </c>
      <c r="I728" s="1">
        <f t="shared" si="22"/>
        <v>16.586000000000002</v>
      </c>
      <c r="J728">
        <f t="shared" si="23"/>
        <v>348.30600000000004</v>
      </c>
    </row>
    <row r="729" spans="1:10" x14ac:dyDescent="0.3">
      <c r="A729" s="1" t="s">
        <v>525</v>
      </c>
      <c r="B729" s="1" t="s">
        <v>752</v>
      </c>
      <c r="C729" s="1" t="s">
        <v>11</v>
      </c>
      <c r="D729" s="1" t="s">
        <v>12</v>
      </c>
      <c r="E729" s="1" t="s">
        <v>18</v>
      </c>
      <c r="F729" s="1" t="s">
        <v>22</v>
      </c>
      <c r="G729" s="1">
        <v>33.99</v>
      </c>
      <c r="H729" s="1">
        <v>6</v>
      </c>
      <c r="I729" s="1">
        <f t="shared" ref="I729:I781" si="24">(G729*H729)*5%</f>
        <v>10.197000000000001</v>
      </c>
      <c r="J729">
        <f t="shared" si="23"/>
        <v>214.137</v>
      </c>
    </row>
    <row r="730" spans="1:10" x14ac:dyDescent="0.3">
      <c r="A730" s="1" t="s">
        <v>525</v>
      </c>
      <c r="B730" s="1" t="s">
        <v>753</v>
      </c>
      <c r="C730" s="1" t="s">
        <v>16</v>
      </c>
      <c r="D730" s="1" t="s">
        <v>17</v>
      </c>
      <c r="E730" s="1" t="s">
        <v>13</v>
      </c>
      <c r="F730" s="1" t="s">
        <v>27</v>
      </c>
      <c r="G730" s="1">
        <v>17.04</v>
      </c>
      <c r="H730" s="1">
        <v>4</v>
      </c>
      <c r="I730" s="1">
        <f t="shared" si="24"/>
        <v>3.4079999999999999</v>
      </c>
      <c r="J730">
        <f t="shared" si="23"/>
        <v>71.567999999999998</v>
      </c>
    </row>
    <row r="731" spans="1:10" x14ac:dyDescent="0.3">
      <c r="A731" s="1" t="s">
        <v>525</v>
      </c>
      <c r="B731" s="1" t="s">
        <v>754</v>
      </c>
      <c r="C731" s="1" t="s">
        <v>16</v>
      </c>
      <c r="D731" s="1" t="s">
        <v>17</v>
      </c>
      <c r="E731" s="1" t="s">
        <v>13</v>
      </c>
      <c r="F731" s="1" t="s">
        <v>27</v>
      </c>
      <c r="G731" s="1">
        <v>17.440000000000001</v>
      </c>
      <c r="H731" s="1">
        <v>5</v>
      </c>
      <c r="I731" s="1">
        <f t="shared" si="24"/>
        <v>4.3600000000000003</v>
      </c>
      <c r="J731">
        <f t="shared" si="23"/>
        <v>91.56</v>
      </c>
    </row>
    <row r="732" spans="1:10" x14ac:dyDescent="0.3">
      <c r="A732" s="1" t="s">
        <v>525</v>
      </c>
      <c r="B732" s="1" t="s">
        <v>755</v>
      </c>
      <c r="C732" s="1" t="s">
        <v>16</v>
      </c>
      <c r="D732" s="1" t="s">
        <v>17</v>
      </c>
      <c r="E732" s="1" t="s">
        <v>18</v>
      </c>
      <c r="F732" s="1" t="s">
        <v>29</v>
      </c>
      <c r="G732" s="1">
        <v>12.78</v>
      </c>
      <c r="H732" s="1">
        <v>1</v>
      </c>
      <c r="I732" s="1">
        <f t="shared" si="24"/>
        <v>0.63900000000000001</v>
      </c>
      <c r="J732">
        <f t="shared" si="23"/>
        <v>13.418999999999999</v>
      </c>
    </row>
    <row r="733" spans="1:10" x14ac:dyDescent="0.3">
      <c r="A733" s="1" t="s">
        <v>525</v>
      </c>
      <c r="B733" s="1" t="s">
        <v>756</v>
      </c>
      <c r="C733" s="1" t="s">
        <v>16</v>
      </c>
      <c r="D733" s="1" t="s">
        <v>17</v>
      </c>
      <c r="E733" s="1" t="s">
        <v>13</v>
      </c>
      <c r="F733" s="1" t="s">
        <v>27</v>
      </c>
      <c r="G733" s="1">
        <v>27.66</v>
      </c>
      <c r="H733" s="1">
        <v>10</v>
      </c>
      <c r="I733" s="1">
        <f t="shared" si="24"/>
        <v>13.830000000000002</v>
      </c>
      <c r="J733">
        <f t="shared" si="23"/>
        <v>290.43</v>
      </c>
    </row>
    <row r="734" spans="1:10" x14ac:dyDescent="0.3">
      <c r="A734" s="1" t="s">
        <v>525</v>
      </c>
      <c r="B734" s="1" t="s">
        <v>757</v>
      </c>
      <c r="C734" s="1" t="s">
        <v>16</v>
      </c>
      <c r="D734" s="1" t="s">
        <v>17</v>
      </c>
      <c r="E734" s="1" t="s">
        <v>18</v>
      </c>
      <c r="F734" s="1" t="s">
        <v>29</v>
      </c>
      <c r="G734" s="1">
        <v>45.74</v>
      </c>
      <c r="H734" s="1">
        <v>3</v>
      </c>
      <c r="I734" s="1">
        <f t="shared" si="24"/>
        <v>6.8610000000000007</v>
      </c>
      <c r="J734">
        <f t="shared" si="23"/>
        <v>144.08099999999999</v>
      </c>
    </row>
    <row r="735" spans="1:10" x14ac:dyDescent="0.3">
      <c r="A735" s="1" t="s">
        <v>525</v>
      </c>
      <c r="B735" s="1" t="s">
        <v>758</v>
      </c>
      <c r="C735" s="1" t="s">
        <v>25</v>
      </c>
      <c r="D735" s="1" t="s">
        <v>26</v>
      </c>
      <c r="E735" s="1" t="s">
        <v>18</v>
      </c>
      <c r="F735" s="1" t="s">
        <v>19</v>
      </c>
      <c r="G735" s="1">
        <v>22.01</v>
      </c>
      <c r="H735" s="1">
        <v>6</v>
      </c>
      <c r="I735" s="1">
        <f t="shared" si="24"/>
        <v>6.6030000000000006</v>
      </c>
      <c r="J735">
        <f t="shared" si="23"/>
        <v>138.66300000000001</v>
      </c>
    </row>
    <row r="736" spans="1:10" x14ac:dyDescent="0.3">
      <c r="A736" s="1" t="s">
        <v>525</v>
      </c>
      <c r="B736" s="1" t="s">
        <v>759</v>
      </c>
      <c r="C736" s="1" t="s">
        <v>11</v>
      </c>
      <c r="D736" s="1" t="s">
        <v>12</v>
      </c>
      <c r="E736" s="1" t="s">
        <v>18</v>
      </c>
      <c r="F736" s="1" t="s">
        <v>14</v>
      </c>
      <c r="G736" s="1">
        <v>25</v>
      </c>
      <c r="H736" s="1">
        <v>1</v>
      </c>
      <c r="I736" s="1">
        <f t="shared" si="24"/>
        <v>1.25</v>
      </c>
      <c r="J736">
        <f t="shared" si="23"/>
        <v>26.25</v>
      </c>
    </row>
    <row r="737" spans="1:10" x14ac:dyDescent="0.3">
      <c r="A737" s="1" t="s">
        <v>525</v>
      </c>
      <c r="B737" s="1" t="s">
        <v>760</v>
      </c>
      <c r="C737" s="1" t="s">
        <v>11</v>
      </c>
      <c r="D737" s="1" t="s">
        <v>12</v>
      </c>
      <c r="E737" s="1" t="s">
        <v>13</v>
      </c>
      <c r="F737" s="1" t="s">
        <v>19</v>
      </c>
      <c r="G737" s="1">
        <v>20.77</v>
      </c>
      <c r="H737" s="1">
        <v>4</v>
      </c>
      <c r="I737" s="1">
        <f t="shared" si="24"/>
        <v>4.1539999999999999</v>
      </c>
      <c r="J737">
        <f t="shared" si="23"/>
        <v>87.233999999999995</v>
      </c>
    </row>
    <row r="738" spans="1:10" x14ac:dyDescent="0.3">
      <c r="A738" s="1" t="s">
        <v>525</v>
      </c>
      <c r="B738" s="1" t="s">
        <v>761</v>
      </c>
      <c r="C738" s="1" t="s">
        <v>25</v>
      </c>
      <c r="D738" s="1" t="s">
        <v>26</v>
      </c>
      <c r="E738" s="1" t="s">
        <v>18</v>
      </c>
      <c r="F738" s="1" t="s">
        <v>19</v>
      </c>
      <c r="G738" s="1">
        <v>79.39</v>
      </c>
      <c r="H738" s="1">
        <v>10</v>
      </c>
      <c r="I738" s="1">
        <f t="shared" si="24"/>
        <v>39.695</v>
      </c>
      <c r="J738">
        <f t="shared" si="23"/>
        <v>833.59500000000003</v>
      </c>
    </row>
    <row r="739" spans="1:10" x14ac:dyDescent="0.3">
      <c r="A739" s="1" t="s">
        <v>525</v>
      </c>
      <c r="B739" s="1" t="s">
        <v>762</v>
      </c>
      <c r="C739" s="1" t="s">
        <v>16</v>
      </c>
      <c r="D739" s="1" t="s">
        <v>17</v>
      </c>
      <c r="E739" s="1" t="s">
        <v>18</v>
      </c>
      <c r="F739" s="1" t="s">
        <v>27</v>
      </c>
      <c r="G739" s="1">
        <v>35.89</v>
      </c>
      <c r="H739" s="1">
        <v>1</v>
      </c>
      <c r="I739" s="1">
        <f t="shared" si="24"/>
        <v>1.7945000000000002</v>
      </c>
      <c r="J739">
        <f t="shared" si="23"/>
        <v>37.6845</v>
      </c>
    </row>
    <row r="740" spans="1:10" x14ac:dyDescent="0.3">
      <c r="A740" s="1" t="s">
        <v>525</v>
      </c>
      <c r="B740" s="1" t="s">
        <v>763</v>
      </c>
      <c r="C740" s="1" t="s">
        <v>16</v>
      </c>
      <c r="D740" s="1" t="s">
        <v>17</v>
      </c>
      <c r="E740" s="1" t="s">
        <v>18</v>
      </c>
      <c r="F740" s="1" t="s">
        <v>27</v>
      </c>
      <c r="G740" s="1">
        <v>40.520000000000003</v>
      </c>
      <c r="H740" s="1">
        <v>5</v>
      </c>
      <c r="I740" s="1">
        <f t="shared" si="24"/>
        <v>10.130000000000003</v>
      </c>
      <c r="J740">
        <f t="shared" si="23"/>
        <v>212.73000000000002</v>
      </c>
    </row>
    <row r="741" spans="1:10" x14ac:dyDescent="0.3">
      <c r="A741" s="1" t="s">
        <v>525</v>
      </c>
      <c r="B741" s="1" t="s">
        <v>764</v>
      </c>
      <c r="C741" s="1" t="s">
        <v>11</v>
      </c>
      <c r="D741" s="1" t="s">
        <v>12</v>
      </c>
      <c r="E741" s="1" t="s">
        <v>13</v>
      </c>
      <c r="F741" s="1" t="s">
        <v>27</v>
      </c>
      <c r="G741" s="1">
        <v>51.34</v>
      </c>
      <c r="H741" s="1">
        <v>5</v>
      </c>
      <c r="I741" s="1">
        <f t="shared" si="24"/>
        <v>12.835000000000003</v>
      </c>
      <c r="J741">
        <f t="shared" si="23"/>
        <v>269.53500000000003</v>
      </c>
    </row>
    <row r="742" spans="1:10" x14ac:dyDescent="0.3">
      <c r="A742" s="1" t="s">
        <v>525</v>
      </c>
      <c r="B742" s="1" t="s">
        <v>765</v>
      </c>
      <c r="C742" s="1" t="s">
        <v>25</v>
      </c>
      <c r="D742" s="1" t="s">
        <v>26</v>
      </c>
      <c r="E742" s="1" t="s">
        <v>18</v>
      </c>
      <c r="F742" s="1" t="s">
        <v>33</v>
      </c>
      <c r="G742" s="1">
        <v>37.020000000000003</v>
      </c>
      <c r="H742" s="1">
        <v>6</v>
      </c>
      <c r="I742" s="1">
        <f t="shared" si="24"/>
        <v>11.106000000000002</v>
      </c>
      <c r="J742">
        <f t="shared" si="23"/>
        <v>233.226</v>
      </c>
    </row>
    <row r="743" spans="1:10" x14ac:dyDescent="0.3">
      <c r="A743" s="1" t="s">
        <v>525</v>
      </c>
      <c r="B743" s="1" t="s">
        <v>766</v>
      </c>
      <c r="C743" s="1" t="s">
        <v>16</v>
      </c>
      <c r="D743" s="1" t="s">
        <v>17</v>
      </c>
      <c r="E743" s="1" t="s">
        <v>18</v>
      </c>
      <c r="F743" s="1" t="s">
        <v>27</v>
      </c>
      <c r="G743" s="1">
        <v>21.58</v>
      </c>
      <c r="H743" s="1">
        <v>1</v>
      </c>
      <c r="I743" s="1">
        <f t="shared" si="24"/>
        <v>1.079</v>
      </c>
      <c r="J743">
        <f t="shared" si="23"/>
        <v>22.658999999999999</v>
      </c>
    </row>
    <row r="744" spans="1:10" x14ac:dyDescent="0.3">
      <c r="A744" s="1" t="s">
        <v>525</v>
      </c>
      <c r="B744" s="1" t="s">
        <v>767</v>
      </c>
      <c r="C744" s="1" t="s">
        <v>11</v>
      </c>
      <c r="D744" s="1" t="s">
        <v>12</v>
      </c>
      <c r="E744" s="1" t="s">
        <v>13</v>
      </c>
      <c r="F744" s="1" t="s">
        <v>29</v>
      </c>
      <c r="G744" s="1">
        <v>43.13</v>
      </c>
      <c r="H744" s="1">
        <v>10</v>
      </c>
      <c r="I744" s="1">
        <f t="shared" si="24"/>
        <v>21.565000000000001</v>
      </c>
      <c r="J744">
        <f t="shared" si="23"/>
        <v>452.86500000000001</v>
      </c>
    </row>
    <row r="745" spans="1:10" x14ac:dyDescent="0.3">
      <c r="A745" s="1" t="s">
        <v>525</v>
      </c>
      <c r="B745" s="1" t="s">
        <v>768</v>
      </c>
      <c r="C745" s="1" t="s">
        <v>25</v>
      </c>
      <c r="D745" s="1" t="s">
        <v>26</v>
      </c>
      <c r="E745" s="1" t="s">
        <v>13</v>
      </c>
      <c r="F745" s="1" t="s">
        <v>14</v>
      </c>
      <c r="G745" s="1">
        <v>72.569999999999993</v>
      </c>
      <c r="H745" s="1">
        <v>8</v>
      </c>
      <c r="I745" s="1">
        <f t="shared" si="24"/>
        <v>29.027999999999999</v>
      </c>
      <c r="J745">
        <f t="shared" si="23"/>
        <v>609.58799999999997</v>
      </c>
    </row>
    <row r="746" spans="1:10" x14ac:dyDescent="0.3">
      <c r="A746" s="1" t="s">
        <v>525</v>
      </c>
      <c r="B746" s="1" t="s">
        <v>769</v>
      </c>
      <c r="C746" s="1" t="s">
        <v>11</v>
      </c>
      <c r="D746" s="1" t="s">
        <v>12</v>
      </c>
      <c r="E746" s="1" t="s">
        <v>18</v>
      </c>
      <c r="F746" s="1" t="s">
        <v>14</v>
      </c>
      <c r="G746" s="1">
        <v>65.180000000000007</v>
      </c>
      <c r="H746" s="1">
        <v>3</v>
      </c>
      <c r="I746" s="1">
        <f t="shared" si="24"/>
        <v>9.777000000000001</v>
      </c>
      <c r="J746">
        <f t="shared" si="23"/>
        <v>205.31700000000001</v>
      </c>
    </row>
    <row r="747" spans="1:10" x14ac:dyDescent="0.3">
      <c r="A747" s="1" t="s">
        <v>525</v>
      </c>
      <c r="B747" s="1" t="s">
        <v>770</v>
      </c>
      <c r="C747" s="1" t="s">
        <v>16</v>
      </c>
      <c r="D747" s="1" t="s">
        <v>17</v>
      </c>
      <c r="E747" s="1" t="s">
        <v>18</v>
      </c>
      <c r="F747" s="1" t="s">
        <v>19</v>
      </c>
      <c r="G747" s="1">
        <v>84.07</v>
      </c>
      <c r="H747" s="1">
        <v>4</v>
      </c>
      <c r="I747" s="1">
        <f t="shared" si="24"/>
        <v>16.814</v>
      </c>
      <c r="J747">
        <f t="shared" si="23"/>
        <v>353.09399999999999</v>
      </c>
    </row>
    <row r="748" spans="1:10" x14ac:dyDescent="0.3">
      <c r="A748" s="1" t="s">
        <v>525</v>
      </c>
      <c r="B748" s="1" t="s">
        <v>771</v>
      </c>
      <c r="C748" s="1" t="s">
        <v>25</v>
      </c>
      <c r="D748" s="1" t="s">
        <v>26</v>
      </c>
      <c r="E748" s="1" t="s">
        <v>18</v>
      </c>
      <c r="F748" s="1" t="s">
        <v>33</v>
      </c>
      <c r="G748" s="1">
        <v>34.369999999999997</v>
      </c>
      <c r="H748" s="1">
        <v>10</v>
      </c>
      <c r="I748" s="1">
        <f t="shared" si="24"/>
        <v>17.184999999999999</v>
      </c>
      <c r="J748">
        <f t="shared" si="23"/>
        <v>360.88499999999999</v>
      </c>
    </row>
    <row r="749" spans="1:10" x14ac:dyDescent="0.3">
      <c r="A749" s="1" t="s">
        <v>525</v>
      </c>
      <c r="B749" s="1" t="s">
        <v>772</v>
      </c>
      <c r="C749" s="1" t="s">
        <v>11</v>
      </c>
      <c r="D749" s="1" t="s">
        <v>12</v>
      </c>
      <c r="E749" s="1" t="s">
        <v>18</v>
      </c>
      <c r="F749" s="1" t="s">
        <v>19</v>
      </c>
      <c r="G749" s="1">
        <v>38.6</v>
      </c>
      <c r="H749" s="1">
        <v>1</v>
      </c>
      <c r="I749" s="1">
        <f t="shared" si="24"/>
        <v>1.9300000000000002</v>
      </c>
      <c r="J749">
        <f t="shared" si="23"/>
        <v>40.53</v>
      </c>
    </row>
    <row r="750" spans="1:10" x14ac:dyDescent="0.3">
      <c r="A750" s="1" t="s">
        <v>525</v>
      </c>
      <c r="B750" s="1" t="s">
        <v>773</v>
      </c>
      <c r="C750" s="1" t="s">
        <v>16</v>
      </c>
      <c r="D750" s="1" t="s">
        <v>17</v>
      </c>
      <c r="E750" s="1" t="s">
        <v>18</v>
      </c>
      <c r="F750" s="1" t="s">
        <v>27</v>
      </c>
      <c r="G750" s="1">
        <v>65.97</v>
      </c>
      <c r="H750" s="1">
        <v>8</v>
      </c>
      <c r="I750" s="1">
        <f t="shared" si="24"/>
        <v>26.388000000000002</v>
      </c>
      <c r="J750">
        <f t="shared" si="23"/>
        <v>554.14800000000002</v>
      </c>
    </row>
    <row r="751" spans="1:10" x14ac:dyDescent="0.3">
      <c r="A751" s="1" t="s">
        <v>525</v>
      </c>
      <c r="B751" s="1" t="s">
        <v>774</v>
      </c>
      <c r="C751" s="1" t="s">
        <v>11</v>
      </c>
      <c r="D751" s="1" t="s">
        <v>12</v>
      </c>
      <c r="E751" s="1" t="s">
        <v>18</v>
      </c>
      <c r="F751" s="1" t="s">
        <v>33</v>
      </c>
      <c r="G751" s="1">
        <v>37.14</v>
      </c>
      <c r="H751" s="1">
        <v>5</v>
      </c>
      <c r="I751" s="1">
        <f t="shared" si="24"/>
        <v>9.2850000000000001</v>
      </c>
      <c r="J751">
        <f t="shared" si="23"/>
        <v>194.98499999999999</v>
      </c>
    </row>
    <row r="752" spans="1:10" x14ac:dyDescent="0.3">
      <c r="A752" s="1" t="s">
        <v>525</v>
      </c>
      <c r="B752" s="1" t="s">
        <v>775</v>
      </c>
      <c r="C752" s="1" t="s">
        <v>25</v>
      </c>
      <c r="D752" s="1" t="s">
        <v>26</v>
      </c>
      <c r="E752" s="1" t="s">
        <v>13</v>
      </c>
      <c r="F752" s="1" t="s">
        <v>22</v>
      </c>
      <c r="G752" s="1">
        <v>60.38</v>
      </c>
      <c r="H752" s="1">
        <v>10</v>
      </c>
      <c r="I752" s="1">
        <f t="shared" si="24"/>
        <v>30.190000000000005</v>
      </c>
      <c r="J752">
        <f t="shared" si="23"/>
        <v>633.99000000000012</v>
      </c>
    </row>
    <row r="753" spans="1:10" x14ac:dyDescent="0.3">
      <c r="A753" s="1" t="s">
        <v>525</v>
      </c>
      <c r="B753" s="1" t="s">
        <v>776</v>
      </c>
      <c r="C753" s="1" t="s">
        <v>11</v>
      </c>
      <c r="D753" s="1" t="s">
        <v>12</v>
      </c>
      <c r="E753" s="1" t="s">
        <v>18</v>
      </c>
      <c r="F753" s="1" t="s">
        <v>29</v>
      </c>
      <c r="G753" s="1">
        <v>37.15</v>
      </c>
      <c r="H753" s="1">
        <v>4</v>
      </c>
      <c r="I753" s="1">
        <f t="shared" si="24"/>
        <v>7.43</v>
      </c>
      <c r="J753">
        <f t="shared" si="23"/>
        <v>156.03</v>
      </c>
    </row>
    <row r="754" spans="1:10" x14ac:dyDescent="0.3">
      <c r="A754" s="1" t="s">
        <v>525</v>
      </c>
      <c r="B754" s="1" t="s">
        <v>777</v>
      </c>
      <c r="C754" s="1" t="s">
        <v>16</v>
      </c>
      <c r="D754" s="1" t="s">
        <v>17</v>
      </c>
      <c r="E754" s="1" t="s">
        <v>18</v>
      </c>
      <c r="F754" s="1" t="s">
        <v>22</v>
      </c>
      <c r="G754" s="1">
        <v>22.96</v>
      </c>
      <c r="H754" s="1">
        <v>1</v>
      </c>
      <c r="I754" s="1">
        <f t="shared" si="24"/>
        <v>1.1480000000000001</v>
      </c>
      <c r="J754">
        <f t="shared" si="23"/>
        <v>24.108000000000001</v>
      </c>
    </row>
    <row r="755" spans="1:10" x14ac:dyDescent="0.3">
      <c r="A755" s="1" t="s">
        <v>525</v>
      </c>
      <c r="B755" s="1" t="s">
        <v>778</v>
      </c>
      <c r="C755" s="1" t="s">
        <v>25</v>
      </c>
      <c r="D755" s="1" t="s">
        <v>26</v>
      </c>
      <c r="E755" s="1" t="s">
        <v>18</v>
      </c>
      <c r="F755" s="1" t="s">
        <v>29</v>
      </c>
      <c r="G755" s="1">
        <v>99.89</v>
      </c>
      <c r="H755" s="1">
        <v>2</v>
      </c>
      <c r="I755" s="1">
        <f t="shared" si="24"/>
        <v>9.9890000000000008</v>
      </c>
      <c r="J755">
        <f t="shared" si="23"/>
        <v>209.76900000000001</v>
      </c>
    </row>
    <row r="756" spans="1:10" x14ac:dyDescent="0.3">
      <c r="A756" s="1" t="s">
        <v>525</v>
      </c>
      <c r="B756" s="1" t="s">
        <v>779</v>
      </c>
      <c r="C756" s="1" t="s">
        <v>25</v>
      </c>
      <c r="D756" s="1" t="s">
        <v>26</v>
      </c>
      <c r="E756" s="1" t="s">
        <v>18</v>
      </c>
      <c r="F756" s="1" t="s">
        <v>33</v>
      </c>
      <c r="G756" s="1">
        <v>75.92</v>
      </c>
      <c r="H756" s="1">
        <v>8</v>
      </c>
      <c r="I756" s="1">
        <f t="shared" si="24"/>
        <v>30.368000000000002</v>
      </c>
      <c r="J756">
        <f t="shared" si="23"/>
        <v>637.72800000000007</v>
      </c>
    </row>
    <row r="757" spans="1:10" x14ac:dyDescent="0.3">
      <c r="A757" s="1" t="s">
        <v>525</v>
      </c>
      <c r="B757" s="1" t="s">
        <v>780</v>
      </c>
      <c r="C757" s="1" t="s">
        <v>25</v>
      </c>
      <c r="D757" s="1" t="s">
        <v>26</v>
      </c>
      <c r="E757" s="1" t="s">
        <v>13</v>
      </c>
      <c r="F757" s="1" t="s">
        <v>33</v>
      </c>
      <c r="G757" s="1">
        <v>73.97</v>
      </c>
      <c r="H757" s="1">
        <v>1</v>
      </c>
      <c r="I757" s="1">
        <f t="shared" si="24"/>
        <v>3.6985000000000001</v>
      </c>
      <c r="J757">
        <f t="shared" si="23"/>
        <v>77.668499999999995</v>
      </c>
    </row>
    <row r="758" spans="1:10" x14ac:dyDescent="0.3">
      <c r="A758" s="1" t="s">
        <v>525</v>
      </c>
      <c r="B758" s="1" t="s">
        <v>781</v>
      </c>
      <c r="C758" s="1" t="s">
        <v>16</v>
      </c>
      <c r="D758" s="1" t="s">
        <v>17</v>
      </c>
      <c r="E758" s="1" t="s">
        <v>18</v>
      </c>
      <c r="F758" s="1" t="s">
        <v>22</v>
      </c>
      <c r="G758" s="1">
        <v>69.400000000000006</v>
      </c>
      <c r="H758" s="1">
        <v>2</v>
      </c>
      <c r="I758" s="1">
        <f t="shared" si="24"/>
        <v>6.9400000000000013</v>
      </c>
      <c r="J758">
        <f t="shared" si="23"/>
        <v>145.74</v>
      </c>
    </row>
    <row r="759" spans="1:10" x14ac:dyDescent="0.3">
      <c r="A759" s="1" t="s">
        <v>525</v>
      </c>
      <c r="B759" s="1" t="s">
        <v>782</v>
      </c>
      <c r="C759" s="1" t="s">
        <v>25</v>
      </c>
      <c r="D759" s="1" t="s">
        <v>26</v>
      </c>
      <c r="E759" s="1" t="s">
        <v>18</v>
      </c>
      <c r="F759" s="1" t="s">
        <v>33</v>
      </c>
      <c r="G759" s="1">
        <v>88.45</v>
      </c>
      <c r="H759" s="1">
        <v>1</v>
      </c>
      <c r="I759" s="1">
        <f t="shared" si="24"/>
        <v>4.4225000000000003</v>
      </c>
      <c r="J759">
        <f t="shared" si="23"/>
        <v>92.872500000000002</v>
      </c>
    </row>
    <row r="760" spans="1:10" x14ac:dyDescent="0.3">
      <c r="A760" s="1" t="s">
        <v>525</v>
      </c>
      <c r="B760" s="1" t="s">
        <v>783</v>
      </c>
      <c r="C760" s="1" t="s">
        <v>11</v>
      </c>
      <c r="D760" s="1" t="s">
        <v>12</v>
      </c>
      <c r="E760" s="1" t="s">
        <v>13</v>
      </c>
      <c r="F760" s="1" t="s">
        <v>19</v>
      </c>
      <c r="G760" s="1">
        <v>24.18</v>
      </c>
      <c r="H760" s="1">
        <v>8</v>
      </c>
      <c r="I760" s="1">
        <f t="shared" si="24"/>
        <v>9.6720000000000006</v>
      </c>
      <c r="J760">
        <f t="shared" si="23"/>
        <v>203.11199999999999</v>
      </c>
    </row>
    <row r="761" spans="1:10" x14ac:dyDescent="0.3">
      <c r="A761" s="1" t="s">
        <v>525</v>
      </c>
      <c r="B761" s="1" t="s">
        <v>784</v>
      </c>
      <c r="C761" s="1" t="s">
        <v>25</v>
      </c>
      <c r="D761" s="1" t="s">
        <v>26</v>
      </c>
      <c r="E761" s="1" t="s">
        <v>13</v>
      </c>
      <c r="F761" s="1" t="s">
        <v>14</v>
      </c>
      <c r="G761" s="1">
        <v>61.29</v>
      </c>
      <c r="H761" s="1">
        <v>5</v>
      </c>
      <c r="I761" s="1">
        <f t="shared" si="24"/>
        <v>15.3225</v>
      </c>
      <c r="J761">
        <f t="shared" si="23"/>
        <v>321.77249999999998</v>
      </c>
    </row>
    <row r="762" spans="1:10" x14ac:dyDescent="0.3">
      <c r="A762" s="1" t="s">
        <v>525</v>
      </c>
      <c r="B762" s="1" t="s">
        <v>785</v>
      </c>
      <c r="C762" s="1" t="s">
        <v>11</v>
      </c>
      <c r="D762" s="1" t="s">
        <v>12</v>
      </c>
      <c r="E762" s="1" t="s">
        <v>18</v>
      </c>
      <c r="F762" s="1" t="s">
        <v>19</v>
      </c>
      <c r="G762" s="1">
        <v>99.55</v>
      </c>
      <c r="H762" s="1">
        <v>7</v>
      </c>
      <c r="I762" s="1">
        <f t="shared" si="24"/>
        <v>34.842500000000001</v>
      </c>
      <c r="J762">
        <f t="shared" si="23"/>
        <v>731.6925</v>
      </c>
    </row>
    <row r="763" spans="1:10" x14ac:dyDescent="0.3">
      <c r="A763" s="1" t="s">
        <v>525</v>
      </c>
      <c r="B763" s="1" t="s">
        <v>786</v>
      </c>
      <c r="C763" s="1" t="s">
        <v>16</v>
      </c>
      <c r="D763" s="1" t="s">
        <v>17</v>
      </c>
      <c r="E763" s="1" t="s">
        <v>13</v>
      </c>
      <c r="F763" s="1" t="s">
        <v>33</v>
      </c>
      <c r="G763" s="1">
        <v>58.39</v>
      </c>
      <c r="H763" s="1">
        <v>7</v>
      </c>
      <c r="I763" s="1">
        <f t="shared" si="24"/>
        <v>20.436500000000002</v>
      </c>
      <c r="J763">
        <f t="shared" si="23"/>
        <v>429.16650000000004</v>
      </c>
    </row>
    <row r="764" spans="1:10" x14ac:dyDescent="0.3">
      <c r="A764" s="1" t="s">
        <v>525</v>
      </c>
      <c r="B764" s="1" t="s">
        <v>787</v>
      </c>
      <c r="C764" s="1" t="s">
        <v>25</v>
      </c>
      <c r="D764" s="1" t="s">
        <v>26</v>
      </c>
      <c r="E764" s="1" t="s">
        <v>13</v>
      </c>
      <c r="F764" s="1" t="s">
        <v>14</v>
      </c>
      <c r="G764" s="1">
        <v>54.86</v>
      </c>
      <c r="H764" s="1">
        <v>5</v>
      </c>
      <c r="I764" s="1">
        <f t="shared" si="24"/>
        <v>13.715000000000002</v>
      </c>
      <c r="J764">
        <f t="shared" si="23"/>
        <v>288.01499999999999</v>
      </c>
    </row>
    <row r="765" spans="1:10" x14ac:dyDescent="0.3">
      <c r="A765" s="1" t="s">
        <v>525</v>
      </c>
      <c r="B765" s="1" t="s">
        <v>788</v>
      </c>
      <c r="C765" s="1" t="s">
        <v>16</v>
      </c>
      <c r="D765" s="1" t="s">
        <v>17</v>
      </c>
      <c r="E765" s="1" t="s">
        <v>13</v>
      </c>
      <c r="F765" s="1" t="s">
        <v>22</v>
      </c>
      <c r="G765" s="1">
        <v>39.39</v>
      </c>
      <c r="H765" s="1">
        <v>5</v>
      </c>
      <c r="I765" s="1">
        <f t="shared" si="24"/>
        <v>9.8475000000000001</v>
      </c>
      <c r="J765">
        <f t="shared" si="23"/>
        <v>206.79749999999999</v>
      </c>
    </row>
    <row r="766" spans="1:10" x14ac:dyDescent="0.3">
      <c r="A766" s="1" t="s">
        <v>525</v>
      </c>
      <c r="B766" s="1" t="s">
        <v>789</v>
      </c>
      <c r="C766" s="1" t="s">
        <v>11</v>
      </c>
      <c r="D766" s="1" t="s">
        <v>12</v>
      </c>
      <c r="E766" s="1" t="s">
        <v>18</v>
      </c>
      <c r="F766" s="1" t="s">
        <v>22</v>
      </c>
      <c r="G766" s="1">
        <v>34.729999999999997</v>
      </c>
      <c r="H766" s="1">
        <v>2</v>
      </c>
      <c r="I766" s="1">
        <f t="shared" si="24"/>
        <v>3.4729999999999999</v>
      </c>
      <c r="J766">
        <f t="shared" si="23"/>
        <v>72.932999999999993</v>
      </c>
    </row>
    <row r="767" spans="1:10" x14ac:dyDescent="0.3">
      <c r="A767" s="1" t="s">
        <v>525</v>
      </c>
      <c r="B767" s="1" t="s">
        <v>790</v>
      </c>
      <c r="C767" s="1" t="s">
        <v>16</v>
      </c>
      <c r="D767" s="1" t="s">
        <v>17</v>
      </c>
      <c r="E767" s="1" t="s">
        <v>13</v>
      </c>
      <c r="F767" s="1" t="s">
        <v>33</v>
      </c>
      <c r="G767" s="1">
        <v>71.92</v>
      </c>
      <c r="H767" s="1">
        <v>5</v>
      </c>
      <c r="I767" s="1">
        <f t="shared" si="24"/>
        <v>17.98</v>
      </c>
      <c r="J767">
        <f t="shared" si="23"/>
        <v>377.58000000000004</v>
      </c>
    </row>
    <row r="768" spans="1:10" x14ac:dyDescent="0.3">
      <c r="A768" s="1" t="s">
        <v>525</v>
      </c>
      <c r="B768" s="1" t="s">
        <v>791</v>
      </c>
      <c r="C768" s="1" t="s">
        <v>16</v>
      </c>
      <c r="D768" s="1" t="s">
        <v>17</v>
      </c>
      <c r="E768" s="1" t="s">
        <v>18</v>
      </c>
      <c r="F768" s="1" t="s">
        <v>14</v>
      </c>
      <c r="G768" s="1">
        <v>62.87</v>
      </c>
      <c r="H768" s="1">
        <v>2</v>
      </c>
      <c r="I768" s="1">
        <f t="shared" si="24"/>
        <v>6.2869999999999999</v>
      </c>
      <c r="J768">
        <f t="shared" si="23"/>
        <v>132.02699999999999</v>
      </c>
    </row>
    <row r="769" spans="1:10" x14ac:dyDescent="0.3">
      <c r="A769" s="1" t="s">
        <v>525</v>
      </c>
      <c r="B769" s="1" t="s">
        <v>792</v>
      </c>
      <c r="C769" s="1" t="s">
        <v>11</v>
      </c>
      <c r="D769" s="1" t="s">
        <v>12</v>
      </c>
      <c r="E769" s="1" t="s">
        <v>18</v>
      </c>
      <c r="F769" s="1" t="s">
        <v>27</v>
      </c>
      <c r="G769" s="1">
        <v>81.709999999999994</v>
      </c>
      <c r="H769" s="1">
        <v>6</v>
      </c>
      <c r="I769" s="1">
        <f t="shared" si="24"/>
        <v>24.513000000000002</v>
      </c>
      <c r="J769">
        <f t="shared" si="23"/>
        <v>514.77300000000002</v>
      </c>
    </row>
    <row r="770" spans="1:10" x14ac:dyDescent="0.3">
      <c r="A770" s="1" t="s">
        <v>525</v>
      </c>
      <c r="B770" s="1" t="s">
        <v>793</v>
      </c>
      <c r="C770" s="1" t="s">
        <v>25</v>
      </c>
      <c r="D770" s="1" t="s">
        <v>26</v>
      </c>
      <c r="E770" s="1" t="s">
        <v>18</v>
      </c>
      <c r="F770" s="1" t="s">
        <v>29</v>
      </c>
      <c r="G770" s="1">
        <v>39.21</v>
      </c>
      <c r="H770" s="1">
        <v>4</v>
      </c>
      <c r="I770" s="1">
        <f t="shared" si="24"/>
        <v>7.8420000000000005</v>
      </c>
      <c r="J770">
        <f t="shared" si="23"/>
        <v>164.68200000000002</v>
      </c>
    </row>
    <row r="771" spans="1:10" x14ac:dyDescent="0.3">
      <c r="A771" s="1" t="s">
        <v>525</v>
      </c>
      <c r="B771" s="1" t="s">
        <v>794</v>
      </c>
      <c r="C771" s="1" t="s">
        <v>25</v>
      </c>
      <c r="D771" s="1" t="s">
        <v>26</v>
      </c>
      <c r="E771" s="1" t="s">
        <v>13</v>
      </c>
      <c r="F771" s="1" t="s">
        <v>29</v>
      </c>
      <c r="G771" s="1">
        <v>59.86</v>
      </c>
      <c r="H771" s="1">
        <v>2</v>
      </c>
      <c r="I771" s="1">
        <f t="shared" si="24"/>
        <v>5.9860000000000007</v>
      </c>
      <c r="J771">
        <f t="shared" ref="J771:J834" si="25">(G771*H771)+I771</f>
        <v>125.706</v>
      </c>
    </row>
    <row r="772" spans="1:10" x14ac:dyDescent="0.3">
      <c r="A772" s="1" t="s">
        <v>525</v>
      </c>
      <c r="B772" s="1" t="s">
        <v>795</v>
      </c>
      <c r="C772" s="1" t="s">
        <v>11</v>
      </c>
      <c r="D772" s="1" t="s">
        <v>12</v>
      </c>
      <c r="E772" s="1" t="s">
        <v>18</v>
      </c>
      <c r="F772" s="1" t="s">
        <v>33</v>
      </c>
      <c r="G772" s="1">
        <v>98.09</v>
      </c>
      <c r="H772" s="1">
        <v>9</v>
      </c>
      <c r="I772" s="1">
        <f t="shared" si="24"/>
        <v>44.140500000000003</v>
      </c>
      <c r="J772">
        <f t="shared" si="25"/>
        <v>926.95050000000003</v>
      </c>
    </row>
    <row r="773" spans="1:10" x14ac:dyDescent="0.3">
      <c r="A773" s="1" t="s">
        <v>525</v>
      </c>
      <c r="B773" s="1" t="s">
        <v>796</v>
      </c>
      <c r="C773" s="1" t="s">
        <v>11</v>
      </c>
      <c r="D773" s="1" t="s">
        <v>12</v>
      </c>
      <c r="E773" s="1" t="s">
        <v>18</v>
      </c>
      <c r="F773" s="1" t="s">
        <v>14</v>
      </c>
      <c r="G773" s="1">
        <v>25.43</v>
      </c>
      <c r="H773" s="1">
        <v>6</v>
      </c>
      <c r="I773" s="1">
        <f t="shared" si="24"/>
        <v>7.6289999999999996</v>
      </c>
      <c r="J773">
        <f t="shared" si="25"/>
        <v>160.20899999999997</v>
      </c>
    </row>
    <row r="774" spans="1:10" x14ac:dyDescent="0.3">
      <c r="A774" s="1" t="s">
        <v>525</v>
      </c>
      <c r="B774" s="1" t="s">
        <v>797</v>
      </c>
      <c r="C774" s="1" t="s">
        <v>11</v>
      </c>
      <c r="D774" s="1" t="s">
        <v>12</v>
      </c>
      <c r="E774" s="1" t="s">
        <v>13</v>
      </c>
      <c r="F774" s="1" t="s">
        <v>29</v>
      </c>
      <c r="G774" s="1">
        <v>86.68</v>
      </c>
      <c r="H774" s="1">
        <v>8</v>
      </c>
      <c r="I774" s="1">
        <f t="shared" si="24"/>
        <v>34.672000000000004</v>
      </c>
      <c r="J774">
        <f t="shared" si="25"/>
        <v>728.11200000000008</v>
      </c>
    </row>
    <row r="775" spans="1:10" x14ac:dyDescent="0.3">
      <c r="A775" s="1" t="s">
        <v>525</v>
      </c>
      <c r="B775" s="1" t="s">
        <v>798</v>
      </c>
      <c r="C775" s="1" t="s">
        <v>25</v>
      </c>
      <c r="D775" s="1" t="s">
        <v>26</v>
      </c>
      <c r="E775" s="1" t="s">
        <v>18</v>
      </c>
      <c r="F775" s="1" t="s">
        <v>19</v>
      </c>
      <c r="G775" s="1">
        <v>22.95</v>
      </c>
      <c r="H775" s="1">
        <v>10</v>
      </c>
      <c r="I775" s="1">
        <f t="shared" si="24"/>
        <v>11.475000000000001</v>
      </c>
      <c r="J775">
        <f t="shared" si="25"/>
        <v>240.97499999999999</v>
      </c>
    </row>
    <row r="776" spans="1:10" x14ac:dyDescent="0.3">
      <c r="A776" s="1" t="s">
        <v>525</v>
      </c>
      <c r="B776" s="1" t="s">
        <v>799</v>
      </c>
      <c r="C776" s="1" t="s">
        <v>16</v>
      </c>
      <c r="D776" s="1" t="s">
        <v>17</v>
      </c>
      <c r="E776" s="1" t="s">
        <v>18</v>
      </c>
      <c r="F776" s="1" t="s">
        <v>22</v>
      </c>
      <c r="G776" s="1">
        <v>16.670000000000002</v>
      </c>
      <c r="H776" s="1">
        <v>7</v>
      </c>
      <c r="I776" s="1">
        <f t="shared" si="24"/>
        <v>5.8345000000000011</v>
      </c>
      <c r="J776">
        <f t="shared" si="25"/>
        <v>122.52450000000002</v>
      </c>
    </row>
    <row r="777" spans="1:10" x14ac:dyDescent="0.3">
      <c r="A777" s="1" t="s">
        <v>525</v>
      </c>
      <c r="B777" s="1" t="s">
        <v>800</v>
      </c>
      <c r="C777" s="1" t="s">
        <v>11</v>
      </c>
      <c r="D777" s="1" t="s">
        <v>12</v>
      </c>
      <c r="E777" s="1" t="s">
        <v>18</v>
      </c>
      <c r="F777" s="1" t="s">
        <v>22</v>
      </c>
      <c r="G777" s="1">
        <v>97.94</v>
      </c>
      <c r="H777" s="1">
        <v>1</v>
      </c>
      <c r="I777" s="1">
        <f t="shared" si="24"/>
        <v>4.8970000000000002</v>
      </c>
      <c r="J777">
        <f t="shared" si="25"/>
        <v>102.837</v>
      </c>
    </row>
    <row r="778" spans="1:10" x14ac:dyDescent="0.3">
      <c r="A778" s="1" t="s">
        <v>525</v>
      </c>
      <c r="B778" s="1" t="s">
        <v>801</v>
      </c>
      <c r="C778" s="1" t="s">
        <v>11</v>
      </c>
      <c r="D778" s="1" t="s">
        <v>12</v>
      </c>
      <c r="E778" s="1" t="s">
        <v>18</v>
      </c>
      <c r="F778" s="1" t="s">
        <v>22</v>
      </c>
      <c r="G778" s="1">
        <v>30.68</v>
      </c>
      <c r="H778" s="1">
        <v>3</v>
      </c>
      <c r="I778" s="1">
        <f t="shared" si="24"/>
        <v>4.6019999999999994</v>
      </c>
      <c r="J778">
        <f t="shared" si="25"/>
        <v>96.641999999999996</v>
      </c>
    </row>
    <row r="779" spans="1:10" x14ac:dyDescent="0.3">
      <c r="A779" s="1" t="s">
        <v>525</v>
      </c>
      <c r="B779" s="1" t="s">
        <v>802</v>
      </c>
      <c r="C779" s="1" t="s">
        <v>16</v>
      </c>
      <c r="D779" s="1" t="s">
        <v>17</v>
      </c>
      <c r="E779" s="1" t="s">
        <v>13</v>
      </c>
      <c r="F779" s="1" t="s">
        <v>14</v>
      </c>
      <c r="G779" s="1">
        <v>75.88</v>
      </c>
      <c r="H779" s="1">
        <v>1</v>
      </c>
      <c r="I779" s="1">
        <f t="shared" si="24"/>
        <v>3.794</v>
      </c>
      <c r="J779">
        <f t="shared" si="25"/>
        <v>79.673999999999992</v>
      </c>
    </row>
    <row r="780" spans="1:10" x14ac:dyDescent="0.3">
      <c r="A780" s="1" t="s">
        <v>525</v>
      </c>
      <c r="B780" s="1" t="s">
        <v>803</v>
      </c>
      <c r="C780" s="1" t="s">
        <v>16</v>
      </c>
      <c r="D780" s="1" t="s">
        <v>17</v>
      </c>
      <c r="E780" s="1" t="s">
        <v>13</v>
      </c>
      <c r="F780" s="1" t="s">
        <v>19</v>
      </c>
      <c r="G780" s="1">
        <v>18.77</v>
      </c>
      <c r="H780" s="1">
        <v>6</v>
      </c>
      <c r="I780" s="1">
        <f t="shared" si="24"/>
        <v>5.6310000000000002</v>
      </c>
      <c r="J780">
        <f t="shared" si="25"/>
        <v>118.251</v>
      </c>
    </row>
    <row r="781" spans="1:10" x14ac:dyDescent="0.3">
      <c r="A781" s="1" t="s">
        <v>525</v>
      </c>
      <c r="B781" s="1" t="s">
        <v>804</v>
      </c>
      <c r="C781" s="1" t="s">
        <v>25</v>
      </c>
      <c r="D781" s="1" t="s">
        <v>26</v>
      </c>
      <c r="E781" s="1" t="s">
        <v>13</v>
      </c>
      <c r="F781" s="1" t="s">
        <v>22</v>
      </c>
      <c r="G781" s="1">
        <v>38.81</v>
      </c>
      <c r="H781" s="1">
        <v>4</v>
      </c>
      <c r="I781" s="1">
        <f t="shared" si="24"/>
        <v>7.7620000000000005</v>
      </c>
      <c r="J781">
        <f t="shared" si="25"/>
        <v>163.00200000000001</v>
      </c>
    </row>
    <row r="782" spans="1:10" x14ac:dyDescent="0.3">
      <c r="A782" s="1" t="s">
        <v>525</v>
      </c>
      <c r="B782" s="1" t="s">
        <v>805</v>
      </c>
      <c r="C782" s="1" t="s">
        <v>11</v>
      </c>
      <c r="D782" s="1" t="s">
        <v>12</v>
      </c>
      <c r="E782" s="1" t="s">
        <v>18</v>
      </c>
      <c r="F782" s="1" t="s">
        <v>33</v>
      </c>
      <c r="G782" s="1">
        <v>60.95</v>
      </c>
      <c r="H782" s="1">
        <v>9</v>
      </c>
      <c r="I782" s="1">
        <f>(G782*H782)*5%</f>
        <v>27.427500000000006</v>
      </c>
      <c r="J782">
        <f t="shared" si="25"/>
        <v>575.97750000000008</v>
      </c>
    </row>
    <row r="783" spans="1:10" x14ac:dyDescent="0.3">
      <c r="A783" s="1" t="s">
        <v>525</v>
      </c>
      <c r="B783" s="1" t="s">
        <v>806</v>
      </c>
      <c r="C783" s="1" t="s">
        <v>25</v>
      </c>
      <c r="D783" s="1" t="s">
        <v>26</v>
      </c>
      <c r="E783" s="1" t="s">
        <v>18</v>
      </c>
      <c r="F783" s="1" t="s">
        <v>29</v>
      </c>
      <c r="G783" s="1">
        <v>57.27</v>
      </c>
      <c r="H783" s="1">
        <v>3</v>
      </c>
      <c r="I783" s="1">
        <f t="shared" ref="I783:I846" si="26">(G783*H783)*5%</f>
        <v>8.5905000000000005</v>
      </c>
      <c r="J783">
        <f t="shared" si="25"/>
        <v>180.40049999999999</v>
      </c>
    </row>
    <row r="784" spans="1:10" x14ac:dyDescent="0.3">
      <c r="A784" s="1" t="s">
        <v>525</v>
      </c>
      <c r="B784" s="1" t="s">
        <v>807</v>
      </c>
      <c r="C784" s="1" t="s">
        <v>16</v>
      </c>
      <c r="D784" s="1" t="s">
        <v>17</v>
      </c>
      <c r="E784" s="1" t="s">
        <v>18</v>
      </c>
      <c r="F784" s="1" t="s">
        <v>19</v>
      </c>
      <c r="G784" s="1">
        <v>22.21</v>
      </c>
      <c r="H784" s="1">
        <v>6</v>
      </c>
      <c r="I784" s="1">
        <f t="shared" si="26"/>
        <v>6.6630000000000003</v>
      </c>
      <c r="J784">
        <f t="shared" si="25"/>
        <v>139.923</v>
      </c>
    </row>
    <row r="785" spans="1:10" x14ac:dyDescent="0.3">
      <c r="A785" s="1" t="s">
        <v>525</v>
      </c>
      <c r="B785" s="1" t="s">
        <v>808</v>
      </c>
      <c r="C785" s="1" t="s">
        <v>11</v>
      </c>
      <c r="D785" s="1" t="s">
        <v>12</v>
      </c>
      <c r="E785" s="1" t="s">
        <v>13</v>
      </c>
      <c r="F785" s="1" t="s">
        <v>19</v>
      </c>
      <c r="G785" s="1">
        <v>19.32</v>
      </c>
      <c r="H785" s="1">
        <v>7</v>
      </c>
      <c r="I785" s="1">
        <f t="shared" si="26"/>
        <v>6.7620000000000005</v>
      </c>
      <c r="J785">
        <f t="shared" si="25"/>
        <v>142.00200000000001</v>
      </c>
    </row>
    <row r="786" spans="1:10" x14ac:dyDescent="0.3">
      <c r="A786" s="1" t="s">
        <v>525</v>
      </c>
      <c r="B786" s="1" t="s">
        <v>809</v>
      </c>
      <c r="C786" s="1" t="s">
        <v>25</v>
      </c>
      <c r="D786" s="1" t="s">
        <v>26</v>
      </c>
      <c r="E786" s="1" t="s">
        <v>18</v>
      </c>
      <c r="F786" s="1" t="s">
        <v>22</v>
      </c>
      <c r="G786" s="1">
        <v>37.479999999999997</v>
      </c>
      <c r="H786" s="1">
        <v>3</v>
      </c>
      <c r="I786" s="1">
        <f t="shared" si="26"/>
        <v>5.6219999999999999</v>
      </c>
      <c r="J786">
        <f t="shared" si="25"/>
        <v>118.062</v>
      </c>
    </row>
    <row r="787" spans="1:10" x14ac:dyDescent="0.3">
      <c r="A787" s="1" t="s">
        <v>525</v>
      </c>
      <c r="B787" s="1" t="s">
        <v>810</v>
      </c>
      <c r="C787" s="1" t="s">
        <v>11</v>
      </c>
      <c r="D787" s="1" t="s">
        <v>12</v>
      </c>
      <c r="E787" s="1" t="s">
        <v>13</v>
      </c>
      <c r="F787" s="1" t="s">
        <v>27</v>
      </c>
      <c r="G787" s="1">
        <v>41.66</v>
      </c>
      <c r="H787" s="1">
        <v>6</v>
      </c>
      <c r="I787" s="1">
        <f t="shared" si="26"/>
        <v>12.497999999999999</v>
      </c>
      <c r="J787">
        <f t="shared" si="25"/>
        <v>262.45799999999997</v>
      </c>
    </row>
    <row r="788" spans="1:10" x14ac:dyDescent="0.3">
      <c r="A788" s="1" t="s">
        <v>525</v>
      </c>
      <c r="B788" s="1" t="s">
        <v>811</v>
      </c>
      <c r="C788" s="1" t="s">
        <v>25</v>
      </c>
      <c r="D788" s="1" t="s">
        <v>26</v>
      </c>
      <c r="E788" s="1" t="s">
        <v>18</v>
      </c>
      <c r="F788" s="1" t="s">
        <v>19</v>
      </c>
      <c r="G788" s="1">
        <v>21.58</v>
      </c>
      <c r="H788" s="1">
        <v>9</v>
      </c>
      <c r="I788" s="1">
        <f t="shared" si="26"/>
        <v>9.7109999999999985</v>
      </c>
      <c r="J788">
        <f t="shared" si="25"/>
        <v>203.93099999999998</v>
      </c>
    </row>
    <row r="789" spans="1:10" x14ac:dyDescent="0.3">
      <c r="A789" s="1" t="s">
        <v>525</v>
      </c>
      <c r="B789" s="1" t="s">
        <v>812</v>
      </c>
      <c r="C789" s="1" t="s">
        <v>16</v>
      </c>
      <c r="D789" s="1" t="s">
        <v>17</v>
      </c>
      <c r="E789" s="1" t="s">
        <v>18</v>
      </c>
      <c r="F789" s="1" t="s">
        <v>27</v>
      </c>
      <c r="G789" s="1">
        <v>89.2</v>
      </c>
      <c r="H789" s="1">
        <v>10</v>
      </c>
      <c r="I789" s="1">
        <f t="shared" si="26"/>
        <v>44.6</v>
      </c>
      <c r="J789">
        <f t="shared" si="25"/>
        <v>936.6</v>
      </c>
    </row>
    <row r="790" spans="1:10" x14ac:dyDescent="0.3">
      <c r="A790" s="1" t="s">
        <v>525</v>
      </c>
      <c r="B790" s="1" t="s">
        <v>813</v>
      </c>
      <c r="C790" s="1" t="s">
        <v>11</v>
      </c>
      <c r="D790" s="1" t="s">
        <v>12</v>
      </c>
      <c r="E790" s="1" t="s">
        <v>13</v>
      </c>
      <c r="F790" s="1" t="s">
        <v>19</v>
      </c>
      <c r="G790" s="1">
        <v>74.510000000000005</v>
      </c>
      <c r="H790" s="1">
        <v>6</v>
      </c>
      <c r="I790" s="1">
        <f t="shared" si="26"/>
        <v>22.353000000000005</v>
      </c>
      <c r="J790">
        <f t="shared" si="25"/>
        <v>469.41300000000007</v>
      </c>
    </row>
    <row r="791" spans="1:10" x14ac:dyDescent="0.3">
      <c r="A791" s="1" t="s">
        <v>525</v>
      </c>
      <c r="B791" s="1" t="s">
        <v>814</v>
      </c>
      <c r="C791" s="1" t="s">
        <v>25</v>
      </c>
      <c r="D791" s="1" t="s">
        <v>26</v>
      </c>
      <c r="E791" s="1" t="s">
        <v>18</v>
      </c>
      <c r="F791" s="1" t="s">
        <v>29</v>
      </c>
      <c r="G791" s="1">
        <v>99.25</v>
      </c>
      <c r="H791" s="1">
        <v>2</v>
      </c>
      <c r="I791" s="1">
        <f t="shared" si="26"/>
        <v>9.9250000000000007</v>
      </c>
      <c r="J791">
        <f t="shared" si="25"/>
        <v>208.42500000000001</v>
      </c>
    </row>
    <row r="792" spans="1:10" x14ac:dyDescent="0.3">
      <c r="A792" s="1" t="s">
        <v>525</v>
      </c>
      <c r="B792" s="1" t="s">
        <v>815</v>
      </c>
      <c r="C792" s="1" t="s">
        <v>25</v>
      </c>
      <c r="D792" s="1" t="s">
        <v>26</v>
      </c>
      <c r="E792" s="1" t="s">
        <v>13</v>
      </c>
      <c r="F792" s="1" t="s">
        <v>33</v>
      </c>
      <c r="G792" s="1">
        <v>26.67</v>
      </c>
      <c r="H792" s="1">
        <v>10</v>
      </c>
      <c r="I792" s="1">
        <f t="shared" si="26"/>
        <v>13.335000000000003</v>
      </c>
      <c r="J792">
        <f t="shared" si="25"/>
        <v>280.03500000000003</v>
      </c>
    </row>
    <row r="793" spans="1:10" x14ac:dyDescent="0.3">
      <c r="A793" s="1" t="s">
        <v>525</v>
      </c>
      <c r="B793" s="1" t="s">
        <v>816</v>
      </c>
      <c r="C793" s="1" t="s">
        <v>11</v>
      </c>
      <c r="D793" s="1" t="s">
        <v>12</v>
      </c>
      <c r="E793" s="1" t="s">
        <v>13</v>
      </c>
      <c r="F793" s="1" t="s">
        <v>27</v>
      </c>
      <c r="G793" s="1">
        <v>10.130000000000001</v>
      </c>
      <c r="H793" s="1">
        <v>7</v>
      </c>
      <c r="I793" s="1">
        <f t="shared" si="26"/>
        <v>3.5455000000000005</v>
      </c>
      <c r="J793">
        <f t="shared" si="25"/>
        <v>74.455500000000015</v>
      </c>
    </row>
    <row r="794" spans="1:10" x14ac:dyDescent="0.3">
      <c r="A794" s="1" t="s">
        <v>525</v>
      </c>
      <c r="B794" s="1" t="s">
        <v>817</v>
      </c>
      <c r="C794" s="1" t="s">
        <v>25</v>
      </c>
      <c r="D794" s="1" t="s">
        <v>26</v>
      </c>
      <c r="E794" s="1" t="s">
        <v>18</v>
      </c>
      <c r="F794" s="1" t="s">
        <v>27</v>
      </c>
      <c r="G794" s="1">
        <v>72.39</v>
      </c>
      <c r="H794" s="1">
        <v>2</v>
      </c>
      <c r="I794" s="1">
        <f t="shared" si="26"/>
        <v>7.2390000000000008</v>
      </c>
      <c r="J794">
        <f t="shared" si="25"/>
        <v>152.01900000000001</v>
      </c>
    </row>
    <row r="795" spans="1:10" x14ac:dyDescent="0.3">
      <c r="A795" s="1" t="s">
        <v>525</v>
      </c>
      <c r="B795" s="1" t="s">
        <v>818</v>
      </c>
      <c r="C795" s="1" t="s">
        <v>11</v>
      </c>
      <c r="D795" s="1" t="s">
        <v>12</v>
      </c>
      <c r="E795" s="1" t="s">
        <v>18</v>
      </c>
      <c r="F795" s="1" t="s">
        <v>33</v>
      </c>
      <c r="G795" s="1">
        <v>85.91</v>
      </c>
      <c r="H795" s="1">
        <v>5</v>
      </c>
      <c r="I795" s="1">
        <f t="shared" si="26"/>
        <v>21.477499999999999</v>
      </c>
      <c r="J795">
        <f t="shared" si="25"/>
        <v>451.02749999999997</v>
      </c>
    </row>
    <row r="796" spans="1:10" x14ac:dyDescent="0.3">
      <c r="A796" s="1" t="s">
        <v>525</v>
      </c>
      <c r="B796" s="1" t="s">
        <v>819</v>
      </c>
      <c r="C796" s="1" t="s">
        <v>25</v>
      </c>
      <c r="D796" s="1" t="s">
        <v>26</v>
      </c>
      <c r="E796" s="1" t="s">
        <v>13</v>
      </c>
      <c r="F796" s="1" t="s">
        <v>29</v>
      </c>
      <c r="G796" s="1">
        <v>81.31</v>
      </c>
      <c r="H796" s="1">
        <v>7</v>
      </c>
      <c r="I796" s="1">
        <f t="shared" si="26"/>
        <v>28.458500000000004</v>
      </c>
      <c r="J796">
        <f t="shared" si="25"/>
        <v>597.62850000000003</v>
      </c>
    </row>
    <row r="797" spans="1:10" x14ac:dyDescent="0.3">
      <c r="A797" s="1" t="s">
        <v>525</v>
      </c>
      <c r="B797" s="1" t="s">
        <v>820</v>
      </c>
      <c r="C797" s="1" t="s">
        <v>25</v>
      </c>
      <c r="D797" s="1" t="s">
        <v>26</v>
      </c>
      <c r="E797" s="1" t="s">
        <v>18</v>
      </c>
      <c r="F797" s="1" t="s">
        <v>27</v>
      </c>
      <c r="G797" s="1">
        <v>60.3</v>
      </c>
      <c r="H797" s="1">
        <v>4</v>
      </c>
      <c r="I797" s="1">
        <f t="shared" si="26"/>
        <v>12.06</v>
      </c>
      <c r="J797">
        <f t="shared" si="25"/>
        <v>253.26</v>
      </c>
    </row>
    <row r="798" spans="1:10" x14ac:dyDescent="0.3">
      <c r="A798" s="1" t="s">
        <v>525</v>
      </c>
      <c r="B798" s="1" t="s">
        <v>821</v>
      </c>
      <c r="C798" s="1" t="s">
        <v>16</v>
      </c>
      <c r="D798" s="1" t="s">
        <v>17</v>
      </c>
      <c r="E798" s="1" t="s">
        <v>18</v>
      </c>
      <c r="F798" s="1" t="s">
        <v>27</v>
      </c>
      <c r="G798" s="1">
        <v>31.77</v>
      </c>
      <c r="H798" s="1">
        <v>4</v>
      </c>
      <c r="I798" s="1">
        <f t="shared" si="26"/>
        <v>6.3540000000000001</v>
      </c>
      <c r="J798">
        <f t="shared" si="25"/>
        <v>133.434</v>
      </c>
    </row>
    <row r="799" spans="1:10" x14ac:dyDescent="0.3">
      <c r="A799" s="1" t="s">
        <v>525</v>
      </c>
      <c r="B799" s="1" t="s">
        <v>822</v>
      </c>
      <c r="C799" s="1" t="s">
        <v>25</v>
      </c>
      <c r="D799" s="1" t="s">
        <v>26</v>
      </c>
      <c r="E799" s="1" t="s">
        <v>18</v>
      </c>
      <c r="F799" s="1" t="s">
        <v>14</v>
      </c>
      <c r="G799" s="1">
        <v>69.510000000000005</v>
      </c>
      <c r="H799" s="1">
        <v>2</v>
      </c>
      <c r="I799" s="1">
        <f t="shared" si="26"/>
        <v>6.9510000000000005</v>
      </c>
      <c r="J799">
        <f t="shared" si="25"/>
        <v>145.971</v>
      </c>
    </row>
    <row r="800" spans="1:10" x14ac:dyDescent="0.3">
      <c r="A800" s="1" t="s">
        <v>525</v>
      </c>
      <c r="B800" s="1" t="s">
        <v>823</v>
      </c>
      <c r="C800" s="1" t="s">
        <v>16</v>
      </c>
      <c r="D800" s="1" t="s">
        <v>17</v>
      </c>
      <c r="E800" s="1" t="s">
        <v>18</v>
      </c>
      <c r="F800" s="1" t="s">
        <v>27</v>
      </c>
      <c r="G800" s="1">
        <v>27.22</v>
      </c>
      <c r="H800" s="1">
        <v>3</v>
      </c>
      <c r="I800" s="1">
        <f t="shared" si="26"/>
        <v>4.0830000000000002</v>
      </c>
      <c r="J800">
        <f t="shared" si="25"/>
        <v>85.742999999999995</v>
      </c>
    </row>
    <row r="801" spans="1:10" x14ac:dyDescent="0.3">
      <c r="A801" s="1" t="s">
        <v>525</v>
      </c>
      <c r="B801" s="1" t="s">
        <v>824</v>
      </c>
      <c r="C801" s="1" t="s">
        <v>25</v>
      </c>
      <c r="D801" s="1" t="s">
        <v>26</v>
      </c>
      <c r="E801" s="1" t="s">
        <v>18</v>
      </c>
      <c r="F801" s="1" t="s">
        <v>33</v>
      </c>
      <c r="G801" s="1">
        <v>63.06</v>
      </c>
      <c r="H801" s="1">
        <v>3</v>
      </c>
      <c r="I801" s="1">
        <f t="shared" si="26"/>
        <v>9.4590000000000014</v>
      </c>
      <c r="J801">
        <f t="shared" si="25"/>
        <v>198.63900000000001</v>
      </c>
    </row>
    <row r="802" spans="1:10" x14ac:dyDescent="0.3">
      <c r="A802" s="1" t="s">
        <v>525</v>
      </c>
      <c r="B802" s="1" t="s">
        <v>825</v>
      </c>
      <c r="C802" s="1" t="s">
        <v>11</v>
      </c>
      <c r="D802" s="1" t="s">
        <v>12</v>
      </c>
      <c r="E802" s="1" t="s">
        <v>18</v>
      </c>
      <c r="F802" s="1" t="s">
        <v>14</v>
      </c>
      <c r="G802" s="1">
        <v>51.71</v>
      </c>
      <c r="H802" s="1">
        <v>4</v>
      </c>
      <c r="I802" s="1">
        <f t="shared" si="26"/>
        <v>10.342000000000001</v>
      </c>
      <c r="J802">
        <f t="shared" si="25"/>
        <v>217.18200000000002</v>
      </c>
    </row>
    <row r="803" spans="1:10" x14ac:dyDescent="0.3">
      <c r="A803" s="1" t="s">
        <v>525</v>
      </c>
      <c r="B803" s="1" t="s">
        <v>826</v>
      </c>
      <c r="C803" s="1" t="s">
        <v>16</v>
      </c>
      <c r="D803" s="1" t="s">
        <v>17</v>
      </c>
      <c r="E803" s="1" t="s">
        <v>18</v>
      </c>
      <c r="F803" s="1" t="s">
        <v>29</v>
      </c>
      <c r="G803" s="1">
        <v>59.61</v>
      </c>
      <c r="H803" s="1">
        <v>10</v>
      </c>
      <c r="I803" s="1">
        <f t="shared" si="26"/>
        <v>29.805000000000003</v>
      </c>
      <c r="J803">
        <f t="shared" si="25"/>
        <v>625.90499999999997</v>
      </c>
    </row>
    <row r="804" spans="1:10" x14ac:dyDescent="0.3">
      <c r="A804" s="1" t="s">
        <v>525</v>
      </c>
      <c r="B804" s="1" t="s">
        <v>827</v>
      </c>
      <c r="C804" s="1" t="s">
        <v>11</v>
      </c>
      <c r="D804" s="1" t="s">
        <v>12</v>
      </c>
      <c r="E804" s="1" t="s">
        <v>18</v>
      </c>
      <c r="F804" s="1" t="s">
        <v>14</v>
      </c>
      <c r="G804" s="1">
        <v>14.62</v>
      </c>
      <c r="H804" s="1">
        <v>5</v>
      </c>
      <c r="I804" s="1">
        <f t="shared" si="26"/>
        <v>3.6549999999999998</v>
      </c>
      <c r="J804">
        <f t="shared" si="25"/>
        <v>76.754999999999995</v>
      </c>
    </row>
    <row r="805" spans="1:10" x14ac:dyDescent="0.3">
      <c r="A805" s="1" t="s">
        <v>525</v>
      </c>
      <c r="B805" s="1" t="s">
        <v>828</v>
      </c>
      <c r="C805" s="1" t="s">
        <v>16</v>
      </c>
      <c r="D805" s="1" t="s">
        <v>17</v>
      </c>
      <c r="E805" s="1" t="s">
        <v>13</v>
      </c>
      <c r="F805" s="1" t="s">
        <v>14</v>
      </c>
      <c r="G805" s="1">
        <v>46.53</v>
      </c>
      <c r="H805" s="1">
        <v>6</v>
      </c>
      <c r="I805" s="1">
        <f t="shared" si="26"/>
        <v>13.959000000000001</v>
      </c>
      <c r="J805">
        <f t="shared" si="25"/>
        <v>293.13900000000001</v>
      </c>
    </row>
    <row r="806" spans="1:10" x14ac:dyDescent="0.3">
      <c r="A806" s="1" t="s">
        <v>525</v>
      </c>
      <c r="B806" s="1" t="s">
        <v>829</v>
      </c>
      <c r="C806" s="1" t="s">
        <v>25</v>
      </c>
      <c r="D806" s="1" t="s">
        <v>26</v>
      </c>
      <c r="E806" s="1" t="s">
        <v>13</v>
      </c>
      <c r="F806" s="1" t="s">
        <v>33</v>
      </c>
      <c r="G806" s="1">
        <v>96.8</v>
      </c>
      <c r="H806" s="1">
        <v>3</v>
      </c>
      <c r="I806" s="1">
        <f t="shared" si="26"/>
        <v>14.52</v>
      </c>
      <c r="J806">
        <f t="shared" si="25"/>
        <v>304.91999999999996</v>
      </c>
    </row>
    <row r="807" spans="1:10" x14ac:dyDescent="0.3">
      <c r="A807" s="1" t="s">
        <v>525</v>
      </c>
      <c r="B807" s="1" t="s">
        <v>830</v>
      </c>
      <c r="C807" s="1" t="s">
        <v>25</v>
      </c>
      <c r="D807" s="1" t="s">
        <v>26</v>
      </c>
      <c r="E807" s="1" t="s">
        <v>18</v>
      </c>
      <c r="F807" s="1" t="s">
        <v>14</v>
      </c>
      <c r="G807" s="1">
        <v>14.82</v>
      </c>
      <c r="H807" s="1">
        <v>3</v>
      </c>
      <c r="I807" s="1">
        <f t="shared" si="26"/>
        <v>2.2230000000000003</v>
      </c>
      <c r="J807">
        <f t="shared" si="25"/>
        <v>46.683</v>
      </c>
    </row>
    <row r="808" spans="1:10" x14ac:dyDescent="0.3">
      <c r="A808" s="1" t="s">
        <v>525</v>
      </c>
      <c r="B808" s="1" t="s">
        <v>831</v>
      </c>
      <c r="C808" s="1" t="s">
        <v>11</v>
      </c>
      <c r="D808" s="1" t="s">
        <v>12</v>
      </c>
      <c r="E808" s="1" t="s">
        <v>18</v>
      </c>
      <c r="F808" s="1" t="s">
        <v>27</v>
      </c>
      <c r="G808" s="1">
        <v>52.2</v>
      </c>
      <c r="H808" s="1">
        <v>3</v>
      </c>
      <c r="I808" s="1">
        <f t="shared" si="26"/>
        <v>7.8300000000000018</v>
      </c>
      <c r="J808">
        <f t="shared" si="25"/>
        <v>164.43000000000004</v>
      </c>
    </row>
    <row r="809" spans="1:10" x14ac:dyDescent="0.3">
      <c r="A809" s="1" t="s">
        <v>525</v>
      </c>
      <c r="B809" s="1" t="s">
        <v>832</v>
      </c>
      <c r="C809" s="1" t="s">
        <v>16</v>
      </c>
      <c r="D809" s="1" t="s">
        <v>17</v>
      </c>
      <c r="E809" s="1" t="s">
        <v>18</v>
      </c>
      <c r="F809" s="1" t="s">
        <v>19</v>
      </c>
      <c r="G809" s="1">
        <v>83.08</v>
      </c>
      <c r="H809" s="1">
        <v>1</v>
      </c>
      <c r="I809" s="1">
        <f t="shared" si="26"/>
        <v>4.1539999999999999</v>
      </c>
      <c r="J809">
        <f t="shared" si="25"/>
        <v>87.233999999999995</v>
      </c>
    </row>
    <row r="810" spans="1:10" x14ac:dyDescent="0.3">
      <c r="A810" s="1" t="s">
        <v>525</v>
      </c>
      <c r="B810" s="1" t="s">
        <v>833</v>
      </c>
      <c r="C810" s="1" t="s">
        <v>16</v>
      </c>
      <c r="D810" s="1" t="s">
        <v>17</v>
      </c>
      <c r="E810" s="1" t="s">
        <v>18</v>
      </c>
      <c r="F810" s="1" t="s">
        <v>27</v>
      </c>
      <c r="G810" s="1">
        <v>77.56</v>
      </c>
      <c r="H810" s="1">
        <v>10</v>
      </c>
      <c r="I810" s="1">
        <f t="shared" si="26"/>
        <v>38.78</v>
      </c>
      <c r="J810">
        <f t="shared" si="25"/>
        <v>814.38</v>
      </c>
    </row>
    <row r="811" spans="1:10" x14ac:dyDescent="0.3">
      <c r="A811" s="1" t="s">
        <v>525</v>
      </c>
      <c r="B811" s="1" t="s">
        <v>834</v>
      </c>
      <c r="C811" s="1" t="s">
        <v>25</v>
      </c>
      <c r="D811" s="1" t="s">
        <v>26</v>
      </c>
      <c r="E811" s="1" t="s">
        <v>18</v>
      </c>
      <c r="F811" s="1" t="s">
        <v>22</v>
      </c>
      <c r="G811" s="1">
        <v>31.75</v>
      </c>
      <c r="H811" s="1">
        <v>4</v>
      </c>
      <c r="I811" s="1">
        <f t="shared" si="26"/>
        <v>6.3500000000000005</v>
      </c>
      <c r="J811">
        <f t="shared" si="25"/>
        <v>133.35</v>
      </c>
    </row>
    <row r="812" spans="1:10" x14ac:dyDescent="0.3">
      <c r="A812" s="1" t="s">
        <v>525</v>
      </c>
      <c r="B812" s="1" t="s">
        <v>835</v>
      </c>
      <c r="C812" s="1" t="s">
        <v>11</v>
      </c>
      <c r="D812" s="1" t="s">
        <v>12</v>
      </c>
      <c r="E812" s="1" t="s">
        <v>18</v>
      </c>
      <c r="F812" s="1" t="s">
        <v>29</v>
      </c>
      <c r="G812" s="1">
        <v>30.61</v>
      </c>
      <c r="H812" s="1">
        <v>1</v>
      </c>
      <c r="I812" s="1">
        <f t="shared" si="26"/>
        <v>1.5305</v>
      </c>
      <c r="J812">
        <f t="shared" si="25"/>
        <v>32.140500000000003</v>
      </c>
    </row>
    <row r="813" spans="1:10" x14ac:dyDescent="0.3">
      <c r="A813" s="1" t="s">
        <v>525</v>
      </c>
      <c r="B813" s="1" t="s">
        <v>836</v>
      </c>
      <c r="C813" s="1" t="s">
        <v>25</v>
      </c>
      <c r="D813" s="1" t="s">
        <v>26</v>
      </c>
      <c r="E813" s="1" t="s">
        <v>13</v>
      </c>
      <c r="F813" s="1" t="s">
        <v>27</v>
      </c>
      <c r="G813" s="1">
        <v>57.89</v>
      </c>
      <c r="H813" s="1">
        <v>2</v>
      </c>
      <c r="I813" s="1">
        <f t="shared" si="26"/>
        <v>5.7890000000000006</v>
      </c>
      <c r="J813">
        <f t="shared" si="25"/>
        <v>121.569</v>
      </c>
    </row>
    <row r="814" spans="1:10" x14ac:dyDescent="0.3">
      <c r="A814" s="1" t="s">
        <v>525</v>
      </c>
      <c r="B814" s="1" t="s">
        <v>837</v>
      </c>
      <c r="C814" s="1" t="s">
        <v>25</v>
      </c>
      <c r="D814" s="1" t="s">
        <v>26</v>
      </c>
      <c r="E814" s="1" t="s">
        <v>13</v>
      </c>
      <c r="F814" s="1" t="s">
        <v>29</v>
      </c>
      <c r="G814" s="1">
        <v>93.22</v>
      </c>
      <c r="H814" s="1">
        <v>3</v>
      </c>
      <c r="I814" s="1">
        <f t="shared" si="26"/>
        <v>13.982999999999999</v>
      </c>
      <c r="J814">
        <f t="shared" si="25"/>
        <v>293.64299999999997</v>
      </c>
    </row>
    <row r="815" spans="1:10" x14ac:dyDescent="0.3">
      <c r="A815" s="1" t="s">
        <v>525</v>
      </c>
      <c r="B815" s="1" t="s">
        <v>838</v>
      </c>
      <c r="C815" s="1" t="s">
        <v>16</v>
      </c>
      <c r="D815" s="1" t="s">
        <v>17</v>
      </c>
      <c r="E815" s="1" t="s">
        <v>13</v>
      </c>
      <c r="F815" s="1" t="s">
        <v>33</v>
      </c>
      <c r="G815" s="1">
        <v>80.930000000000007</v>
      </c>
      <c r="H815" s="1">
        <v>1</v>
      </c>
      <c r="I815" s="1">
        <f t="shared" si="26"/>
        <v>4.0465000000000009</v>
      </c>
      <c r="J815">
        <f t="shared" si="25"/>
        <v>84.976500000000001</v>
      </c>
    </row>
    <row r="816" spans="1:10" x14ac:dyDescent="0.3">
      <c r="A816" s="1" t="s">
        <v>525</v>
      </c>
      <c r="B816" s="1" t="s">
        <v>839</v>
      </c>
      <c r="C816" s="1" t="s">
        <v>11</v>
      </c>
      <c r="D816" s="1" t="s">
        <v>12</v>
      </c>
      <c r="E816" s="1" t="s">
        <v>13</v>
      </c>
      <c r="F816" s="1" t="s">
        <v>27</v>
      </c>
      <c r="G816" s="1">
        <v>67.45</v>
      </c>
      <c r="H816" s="1">
        <v>10</v>
      </c>
      <c r="I816" s="1">
        <f t="shared" si="26"/>
        <v>33.725000000000001</v>
      </c>
      <c r="J816">
        <f t="shared" si="25"/>
        <v>708.22500000000002</v>
      </c>
    </row>
    <row r="817" spans="1:10" x14ac:dyDescent="0.3">
      <c r="A817" s="1" t="s">
        <v>525</v>
      </c>
      <c r="B817" s="1" t="s">
        <v>840</v>
      </c>
      <c r="C817" s="1" t="s">
        <v>25</v>
      </c>
      <c r="D817" s="1" t="s">
        <v>26</v>
      </c>
      <c r="E817" s="1" t="s">
        <v>13</v>
      </c>
      <c r="F817" s="1" t="s">
        <v>33</v>
      </c>
      <c r="G817" s="1">
        <v>72.599999999999994</v>
      </c>
      <c r="H817" s="1">
        <v>6</v>
      </c>
      <c r="I817" s="1">
        <f t="shared" si="26"/>
        <v>21.78</v>
      </c>
      <c r="J817">
        <f t="shared" si="25"/>
        <v>457.38</v>
      </c>
    </row>
    <row r="818" spans="1:10" x14ac:dyDescent="0.3">
      <c r="A818" s="1" t="s">
        <v>525</v>
      </c>
      <c r="B818" s="1" t="s">
        <v>841</v>
      </c>
      <c r="C818" s="1" t="s">
        <v>16</v>
      </c>
      <c r="D818" s="1" t="s">
        <v>17</v>
      </c>
      <c r="E818" s="1" t="s">
        <v>13</v>
      </c>
      <c r="F818" s="1" t="s">
        <v>19</v>
      </c>
      <c r="G818" s="1">
        <v>87.91</v>
      </c>
      <c r="H818" s="1">
        <v>5</v>
      </c>
      <c r="I818" s="1">
        <f t="shared" si="26"/>
        <v>21.977499999999999</v>
      </c>
      <c r="J818">
        <f t="shared" si="25"/>
        <v>461.52749999999997</v>
      </c>
    </row>
    <row r="819" spans="1:10" x14ac:dyDescent="0.3">
      <c r="A819" s="1" t="s">
        <v>525</v>
      </c>
      <c r="B819" s="1" t="s">
        <v>842</v>
      </c>
      <c r="C819" s="1" t="s">
        <v>11</v>
      </c>
      <c r="D819" s="1" t="s">
        <v>12</v>
      </c>
      <c r="E819" s="1" t="s">
        <v>13</v>
      </c>
      <c r="F819" s="1" t="s">
        <v>27</v>
      </c>
      <c r="G819" s="1">
        <v>98.53</v>
      </c>
      <c r="H819" s="1">
        <v>6</v>
      </c>
      <c r="I819" s="1">
        <f t="shared" si="26"/>
        <v>29.559000000000005</v>
      </c>
      <c r="J819">
        <f t="shared" si="25"/>
        <v>620.73900000000003</v>
      </c>
    </row>
    <row r="820" spans="1:10" x14ac:dyDescent="0.3">
      <c r="A820" s="1" t="s">
        <v>525</v>
      </c>
      <c r="B820" s="1" t="s">
        <v>843</v>
      </c>
      <c r="C820" s="1" t="s">
        <v>25</v>
      </c>
      <c r="D820" s="1" t="s">
        <v>26</v>
      </c>
      <c r="E820" s="1" t="s">
        <v>13</v>
      </c>
      <c r="F820" s="1" t="s">
        <v>29</v>
      </c>
      <c r="G820" s="1">
        <v>91.35</v>
      </c>
      <c r="H820" s="1">
        <v>1</v>
      </c>
      <c r="I820" s="1">
        <f t="shared" si="26"/>
        <v>4.5674999999999999</v>
      </c>
      <c r="J820">
        <f t="shared" si="25"/>
        <v>95.91749999999999</v>
      </c>
    </row>
    <row r="821" spans="1:10" x14ac:dyDescent="0.3">
      <c r="A821" s="1" t="s">
        <v>525</v>
      </c>
      <c r="B821" s="1" t="s">
        <v>844</v>
      </c>
      <c r="C821" s="1" t="s">
        <v>11</v>
      </c>
      <c r="D821" s="1" t="s">
        <v>12</v>
      </c>
      <c r="E821" s="1" t="s">
        <v>18</v>
      </c>
      <c r="F821" s="1" t="s">
        <v>33</v>
      </c>
      <c r="G821" s="1">
        <v>60.87</v>
      </c>
      <c r="H821" s="1">
        <v>2</v>
      </c>
      <c r="I821" s="1">
        <f t="shared" si="26"/>
        <v>6.0869999999999997</v>
      </c>
      <c r="J821">
        <f t="shared" si="25"/>
        <v>127.827</v>
      </c>
    </row>
    <row r="822" spans="1:10" x14ac:dyDescent="0.3">
      <c r="A822" s="1" t="s">
        <v>525</v>
      </c>
      <c r="B822" s="1" t="s">
        <v>845</v>
      </c>
      <c r="C822" s="1" t="s">
        <v>25</v>
      </c>
      <c r="D822" s="1" t="s">
        <v>26</v>
      </c>
      <c r="E822" s="1" t="s">
        <v>13</v>
      </c>
      <c r="F822" s="1" t="s">
        <v>14</v>
      </c>
      <c r="G822" s="1">
        <v>82.58</v>
      </c>
      <c r="H822" s="1">
        <v>10</v>
      </c>
      <c r="I822" s="1">
        <f t="shared" si="26"/>
        <v>41.29</v>
      </c>
      <c r="J822">
        <f t="shared" si="25"/>
        <v>867.08999999999992</v>
      </c>
    </row>
    <row r="823" spans="1:10" x14ac:dyDescent="0.3">
      <c r="A823" s="1" t="s">
        <v>525</v>
      </c>
      <c r="B823" s="1" t="s">
        <v>846</v>
      </c>
      <c r="C823" s="1" t="s">
        <v>11</v>
      </c>
      <c r="D823" s="1" t="s">
        <v>12</v>
      </c>
      <c r="E823" s="1" t="s">
        <v>13</v>
      </c>
      <c r="F823" s="1" t="s">
        <v>22</v>
      </c>
      <c r="G823" s="1">
        <v>53.3</v>
      </c>
      <c r="H823" s="1">
        <v>3</v>
      </c>
      <c r="I823" s="1">
        <f t="shared" si="26"/>
        <v>7.9949999999999992</v>
      </c>
      <c r="J823">
        <f t="shared" si="25"/>
        <v>167.89499999999998</v>
      </c>
    </row>
    <row r="824" spans="1:10" x14ac:dyDescent="0.3">
      <c r="A824" s="1" t="s">
        <v>525</v>
      </c>
      <c r="B824" s="1" t="s">
        <v>847</v>
      </c>
      <c r="C824" s="1" t="s">
        <v>11</v>
      </c>
      <c r="D824" s="1" t="s">
        <v>12</v>
      </c>
      <c r="E824" s="1" t="s">
        <v>18</v>
      </c>
      <c r="F824" s="1" t="s">
        <v>33</v>
      </c>
      <c r="G824" s="1">
        <v>64.19</v>
      </c>
      <c r="H824" s="1">
        <v>10</v>
      </c>
      <c r="I824" s="1">
        <f t="shared" si="26"/>
        <v>32.094999999999999</v>
      </c>
      <c r="J824">
        <f t="shared" si="25"/>
        <v>673.995</v>
      </c>
    </row>
    <row r="825" spans="1:10" x14ac:dyDescent="0.3">
      <c r="A825" s="1" t="s">
        <v>525</v>
      </c>
      <c r="B825" s="1" t="s">
        <v>848</v>
      </c>
      <c r="C825" s="1" t="s">
        <v>11</v>
      </c>
      <c r="D825" s="1" t="s">
        <v>12</v>
      </c>
      <c r="E825" s="1" t="s">
        <v>18</v>
      </c>
      <c r="F825" s="1" t="s">
        <v>19</v>
      </c>
      <c r="G825" s="1">
        <v>78.31</v>
      </c>
      <c r="H825" s="1">
        <v>3</v>
      </c>
      <c r="I825" s="1">
        <f t="shared" si="26"/>
        <v>11.746500000000001</v>
      </c>
      <c r="J825">
        <f t="shared" si="25"/>
        <v>246.6765</v>
      </c>
    </row>
    <row r="826" spans="1:10" x14ac:dyDescent="0.3">
      <c r="A826" s="1" t="s">
        <v>525</v>
      </c>
      <c r="B826" s="1" t="s">
        <v>849</v>
      </c>
      <c r="C826" s="1" t="s">
        <v>11</v>
      </c>
      <c r="D826" s="1" t="s">
        <v>12</v>
      </c>
      <c r="E826" s="1" t="s">
        <v>13</v>
      </c>
      <c r="F826" s="1" t="s">
        <v>27</v>
      </c>
      <c r="G826" s="1">
        <v>83.77</v>
      </c>
      <c r="H826" s="1">
        <v>2</v>
      </c>
      <c r="I826" s="1">
        <f t="shared" si="26"/>
        <v>8.3770000000000007</v>
      </c>
      <c r="J826">
        <f t="shared" si="25"/>
        <v>175.917</v>
      </c>
    </row>
    <row r="827" spans="1:10" x14ac:dyDescent="0.3">
      <c r="A827" s="1" t="s">
        <v>525</v>
      </c>
      <c r="B827" s="1" t="s">
        <v>850</v>
      </c>
      <c r="C827" s="1" t="s">
        <v>25</v>
      </c>
      <c r="D827" s="1" t="s">
        <v>26</v>
      </c>
      <c r="E827" s="1" t="s">
        <v>18</v>
      </c>
      <c r="F827" s="1" t="s">
        <v>22</v>
      </c>
      <c r="G827" s="1">
        <v>99.7</v>
      </c>
      <c r="H827" s="1">
        <v>3</v>
      </c>
      <c r="I827" s="1">
        <f t="shared" si="26"/>
        <v>14.955000000000002</v>
      </c>
      <c r="J827">
        <f t="shared" si="25"/>
        <v>314.05500000000001</v>
      </c>
    </row>
    <row r="828" spans="1:10" x14ac:dyDescent="0.3">
      <c r="A828" s="1" t="s">
        <v>525</v>
      </c>
      <c r="B828" s="1" t="s">
        <v>851</v>
      </c>
      <c r="C828" s="1" t="s">
        <v>25</v>
      </c>
      <c r="D828" s="1" t="s">
        <v>26</v>
      </c>
      <c r="E828" s="1" t="s">
        <v>13</v>
      </c>
      <c r="F828" s="1" t="s">
        <v>27</v>
      </c>
      <c r="G828" s="1">
        <v>79.91</v>
      </c>
      <c r="H828" s="1">
        <v>3</v>
      </c>
      <c r="I828" s="1">
        <f t="shared" si="26"/>
        <v>11.986499999999999</v>
      </c>
      <c r="J828">
        <f t="shared" si="25"/>
        <v>251.7165</v>
      </c>
    </row>
    <row r="829" spans="1:10" x14ac:dyDescent="0.3">
      <c r="A829" s="1" t="s">
        <v>525</v>
      </c>
      <c r="B829" s="1" t="s">
        <v>852</v>
      </c>
      <c r="C829" s="1" t="s">
        <v>25</v>
      </c>
      <c r="D829" s="1" t="s">
        <v>26</v>
      </c>
      <c r="E829" s="1" t="s">
        <v>13</v>
      </c>
      <c r="F829" s="1" t="s">
        <v>14</v>
      </c>
      <c r="G829" s="1">
        <v>66.47</v>
      </c>
      <c r="H829" s="1">
        <v>10</v>
      </c>
      <c r="I829" s="1">
        <f t="shared" si="26"/>
        <v>33.235000000000007</v>
      </c>
      <c r="J829">
        <f t="shared" si="25"/>
        <v>697.93500000000006</v>
      </c>
    </row>
    <row r="830" spans="1:10" x14ac:dyDescent="0.3">
      <c r="A830" s="1" t="s">
        <v>525</v>
      </c>
      <c r="B830" s="1" t="s">
        <v>853</v>
      </c>
      <c r="C830" s="1" t="s">
        <v>11</v>
      </c>
      <c r="D830" s="1" t="s">
        <v>12</v>
      </c>
      <c r="E830" s="1" t="s">
        <v>18</v>
      </c>
      <c r="F830" s="1" t="s">
        <v>14</v>
      </c>
      <c r="G830" s="1">
        <v>28.95</v>
      </c>
      <c r="H830" s="1">
        <v>7</v>
      </c>
      <c r="I830" s="1">
        <f t="shared" si="26"/>
        <v>10.1325</v>
      </c>
      <c r="J830">
        <f t="shared" si="25"/>
        <v>212.7825</v>
      </c>
    </row>
    <row r="831" spans="1:10" x14ac:dyDescent="0.3">
      <c r="A831" s="1" t="s">
        <v>525</v>
      </c>
      <c r="B831" s="1" t="s">
        <v>854</v>
      </c>
      <c r="C831" s="1" t="s">
        <v>25</v>
      </c>
      <c r="D831" s="1" t="s">
        <v>26</v>
      </c>
      <c r="E831" s="1" t="s">
        <v>18</v>
      </c>
      <c r="F831" s="1" t="s">
        <v>29</v>
      </c>
      <c r="G831" s="1">
        <v>52.42</v>
      </c>
      <c r="H831" s="1">
        <v>3</v>
      </c>
      <c r="I831" s="1">
        <f t="shared" si="26"/>
        <v>7.8629999999999995</v>
      </c>
      <c r="J831">
        <f t="shared" si="25"/>
        <v>165.12299999999999</v>
      </c>
    </row>
    <row r="832" spans="1:10" x14ac:dyDescent="0.3">
      <c r="A832" s="1" t="s">
        <v>525</v>
      </c>
      <c r="B832" s="1" t="s">
        <v>855</v>
      </c>
      <c r="C832" s="1" t="s">
        <v>25</v>
      </c>
      <c r="D832" s="1" t="s">
        <v>26</v>
      </c>
      <c r="E832" s="1" t="s">
        <v>13</v>
      </c>
      <c r="F832" s="1" t="s">
        <v>19</v>
      </c>
      <c r="G832" s="1">
        <v>55.67</v>
      </c>
      <c r="H832" s="1">
        <v>2</v>
      </c>
      <c r="I832" s="1">
        <f t="shared" si="26"/>
        <v>5.5670000000000002</v>
      </c>
      <c r="J832">
        <f t="shared" si="25"/>
        <v>116.90700000000001</v>
      </c>
    </row>
    <row r="833" spans="1:10" x14ac:dyDescent="0.3">
      <c r="A833" s="1" t="s">
        <v>525</v>
      </c>
      <c r="B833" s="1" t="s">
        <v>856</v>
      </c>
      <c r="C833" s="1" t="s">
        <v>16</v>
      </c>
      <c r="D833" s="1" t="s">
        <v>17</v>
      </c>
      <c r="E833" s="1" t="s">
        <v>13</v>
      </c>
      <c r="F833" s="1" t="s">
        <v>19</v>
      </c>
      <c r="G833" s="1">
        <v>12.05</v>
      </c>
      <c r="H833" s="1">
        <v>5</v>
      </c>
      <c r="I833" s="1">
        <f t="shared" si="26"/>
        <v>3.0125000000000002</v>
      </c>
      <c r="J833">
        <f t="shared" si="25"/>
        <v>63.262500000000003</v>
      </c>
    </row>
    <row r="834" spans="1:10" x14ac:dyDescent="0.3">
      <c r="A834" s="1" t="s">
        <v>525</v>
      </c>
      <c r="B834" s="1" t="s">
        <v>857</v>
      </c>
      <c r="C834" s="1" t="s">
        <v>11</v>
      </c>
      <c r="D834" s="1" t="s">
        <v>12</v>
      </c>
      <c r="E834" s="1" t="s">
        <v>13</v>
      </c>
      <c r="F834" s="1" t="s">
        <v>22</v>
      </c>
      <c r="G834" s="1">
        <v>19.36</v>
      </c>
      <c r="H834" s="1">
        <v>9</v>
      </c>
      <c r="I834" s="1">
        <f t="shared" si="26"/>
        <v>8.7120000000000015</v>
      </c>
      <c r="J834">
        <f t="shared" si="25"/>
        <v>182.952</v>
      </c>
    </row>
    <row r="835" spans="1:10" x14ac:dyDescent="0.3">
      <c r="A835" s="1" t="s">
        <v>525</v>
      </c>
      <c r="B835" s="1" t="s">
        <v>858</v>
      </c>
      <c r="C835" s="1" t="s">
        <v>16</v>
      </c>
      <c r="D835" s="1" t="s">
        <v>17</v>
      </c>
      <c r="E835" s="1" t="s">
        <v>18</v>
      </c>
      <c r="F835" s="1" t="s">
        <v>14</v>
      </c>
      <c r="G835" s="1">
        <v>70.209999999999994</v>
      </c>
      <c r="H835" s="1">
        <v>6</v>
      </c>
      <c r="I835" s="1">
        <f t="shared" si="26"/>
        <v>21.063000000000002</v>
      </c>
      <c r="J835">
        <f t="shared" ref="J835:J898" si="27">(G835*H835)+I835</f>
        <v>442.32299999999998</v>
      </c>
    </row>
    <row r="836" spans="1:10" x14ac:dyDescent="0.3">
      <c r="A836" s="1" t="s">
        <v>525</v>
      </c>
      <c r="B836" s="1" t="s">
        <v>859</v>
      </c>
      <c r="C836" s="1" t="s">
        <v>25</v>
      </c>
      <c r="D836" s="1" t="s">
        <v>26</v>
      </c>
      <c r="E836" s="1" t="s">
        <v>13</v>
      </c>
      <c r="F836" s="1" t="s">
        <v>29</v>
      </c>
      <c r="G836" s="1">
        <v>33.630000000000003</v>
      </c>
      <c r="H836" s="1">
        <v>1</v>
      </c>
      <c r="I836" s="1">
        <f t="shared" si="26"/>
        <v>1.6815000000000002</v>
      </c>
      <c r="J836">
        <f t="shared" si="27"/>
        <v>35.311500000000002</v>
      </c>
    </row>
    <row r="837" spans="1:10" x14ac:dyDescent="0.3">
      <c r="A837" s="1" t="s">
        <v>525</v>
      </c>
      <c r="B837" s="1" t="s">
        <v>860</v>
      </c>
      <c r="C837" s="1" t="s">
        <v>16</v>
      </c>
      <c r="D837" s="1" t="s">
        <v>17</v>
      </c>
      <c r="E837" s="1" t="s">
        <v>18</v>
      </c>
      <c r="F837" s="1" t="s">
        <v>19</v>
      </c>
      <c r="G837" s="1">
        <v>24.74</v>
      </c>
      <c r="H837" s="1">
        <v>10</v>
      </c>
      <c r="I837" s="1">
        <f t="shared" si="26"/>
        <v>12.37</v>
      </c>
      <c r="J837">
        <f t="shared" si="27"/>
        <v>259.77</v>
      </c>
    </row>
    <row r="838" spans="1:10" x14ac:dyDescent="0.3">
      <c r="A838" s="1" t="s">
        <v>525</v>
      </c>
      <c r="B838" s="1" t="s">
        <v>861</v>
      </c>
      <c r="C838" s="1" t="s">
        <v>25</v>
      </c>
      <c r="D838" s="1" t="s">
        <v>26</v>
      </c>
      <c r="E838" s="1" t="s">
        <v>18</v>
      </c>
      <c r="F838" s="1" t="s">
        <v>19</v>
      </c>
      <c r="G838" s="1">
        <v>75.66</v>
      </c>
      <c r="H838" s="1">
        <v>5</v>
      </c>
      <c r="I838" s="1">
        <f>(G838*H838)*5%</f>
        <v>18.914999999999999</v>
      </c>
      <c r="J838">
        <f t="shared" si="27"/>
        <v>397.21499999999997</v>
      </c>
    </row>
    <row r="839" spans="1:10" x14ac:dyDescent="0.3">
      <c r="A839" s="1" t="s">
        <v>525</v>
      </c>
      <c r="B839" s="1" t="s">
        <v>862</v>
      </c>
      <c r="C839" s="1" t="s">
        <v>11</v>
      </c>
      <c r="D839" s="1" t="s">
        <v>12</v>
      </c>
      <c r="E839" s="1" t="s">
        <v>13</v>
      </c>
      <c r="F839" s="1" t="s">
        <v>22</v>
      </c>
      <c r="G839" s="1">
        <v>72.78</v>
      </c>
      <c r="H839" s="1">
        <v>10</v>
      </c>
      <c r="I839" s="1">
        <f t="shared" si="26"/>
        <v>36.39</v>
      </c>
      <c r="J839">
        <f t="shared" si="27"/>
        <v>764.18999999999994</v>
      </c>
    </row>
    <row r="840" spans="1:10" x14ac:dyDescent="0.3">
      <c r="A840" s="1" t="s">
        <v>525</v>
      </c>
      <c r="B840" s="1" t="s">
        <v>863</v>
      </c>
      <c r="C840" s="1" t="s">
        <v>25</v>
      </c>
      <c r="D840" s="1" t="s">
        <v>26</v>
      </c>
      <c r="E840" s="1" t="s">
        <v>13</v>
      </c>
      <c r="F840" s="1" t="s">
        <v>33</v>
      </c>
      <c r="G840" s="1">
        <v>37.32</v>
      </c>
      <c r="H840" s="1">
        <v>9</v>
      </c>
      <c r="I840" s="1">
        <f t="shared" si="26"/>
        <v>16.794</v>
      </c>
      <c r="J840">
        <f t="shared" si="27"/>
        <v>352.67399999999998</v>
      </c>
    </row>
    <row r="841" spans="1:10" x14ac:dyDescent="0.3">
      <c r="A841" s="1" t="s">
        <v>525</v>
      </c>
      <c r="B841" s="1" t="s">
        <v>864</v>
      </c>
      <c r="C841" s="1" t="s">
        <v>25</v>
      </c>
      <c r="D841" s="1" t="s">
        <v>26</v>
      </c>
      <c r="E841" s="1" t="s">
        <v>13</v>
      </c>
      <c r="F841" s="1" t="s">
        <v>29</v>
      </c>
      <c r="G841" s="1">
        <v>60.18</v>
      </c>
      <c r="H841" s="1">
        <v>4</v>
      </c>
      <c r="I841" s="1">
        <f t="shared" si="26"/>
        <v>12.036000000000001</v>
      </c>
      <c r="J841">
        <f t="shared" si="27"/>
        <v>252.756</v>
      </c>
    </row>
    <row r="842" spans="1:10" x14ac:dyDescent="0.3">
      <c r="A842" s="1" t="s">
        <v>525</v>
      </c>
      <c r="B842" s="1" t="s">
        <v>865</v>
      </c>
      <c r="C842" s="1" t="s">
        <v>11</v>
      </c>
      <c r="D842" s="1" t="s">
        <v>12</v>
      </c>
      <c r="E842" s="1" t="s">
        <v>13</v>
      </c>
      <c r="F842" s="1" t="s">
        <v>29</v>
      </c>
      <c r="G842" s="1">
        <v>55.45</v>
      </c>
      <c r="H842" s="1">
        <v>1</v>
      </c>
      <c r="I842" s="1">
        <f t="shared" si="26"/>
        <v>2.7725000000000004</v>
      </c>
      <c r="J842">
        <f t="shared" si="27"/>
        <v>58.222500000000004</v>
      </c>
    </row>
    <row r="843" spans="1:10" x14ac:dyDescent="0.3">
      <c r="A843" s="1" t="s">
        <v>525</v>
      </c>
      <c r="B843" s="1" t="s">
        <v>866</v>
      </c>
      <c r="C843" s="1" t="s">
        <v>16</v>
      </c>
      <c r="D843" s="1" t="s">
        <v>17</v>
      </c>
      <c r="E843" s="1" t="s">
        <v>13</v>
      </c>
      <c r="F843" s="1" t="s">
        <v>33</v>
      </c>
      <c r="G843" s="1">
        <v>17.14</v>
      </c>
      <c r="H843" s="1">
        <v>7</v>
      </c>
      <c r="I843" s="1">
        <f t="shared" si="26"/>
        <v>5.9990000000000006</v>
      </c>
      <c r="J843">
        <f t="shared" si="27"/>
        <v>125.979</v>
      </c>
    </row>
    <row r="844" spans="1:10" x14ac:dyDescent="0.3">
      <c r="A844" s="1" t="s">
        <v>525</v>
      </c>
      <c r="B844" s="1" t="s">
        <v>867</v>
      </c>
      <c r="C844" s="1" t="s">
        <v>25</v>
      </c>
      <c r="D844" s="1" t="s">
        <v>26</v>
      </c>
      <c r="E844" s="1" t="s">
        <v>13</v>
      </c>
      <c r="F844" s="1" t="s">
        <v>27</v>
      </c>
      <c r="G844" s="1">
        <v>57.74</v>
      </c>
      <c r="H844" s="1">
        <v>3</v>
      </c>
      <c r="I844" s="1">
        <f t="shared" si="26"/>
        <v>8.6609999999999996</v>
      </c>
      <c r="J844">
        <f t="shared" si="27"/>
        <v>181.881</v>
      </c>
    </row>
    <row r="845" spans="1:10" x14ac:dyDescent="0.3">
      <c r="A845" s="1" t="s">
        <v>525</v>
      </c>
      <c r="B845" s="1" t="s">
        <v>868</v>
      </c>
      <c r="C845" s="1" t="s">
        <v>11</v>
      </c>
      <c r="D845" s="1" t="s">
        <v>12</v>
      </c>
      <c r="E845" s="1" t="s">
        <v>13</v>
      </c>
      <c r="F845" s="1" t="s">
        <v>29</v>
      </c>
      <c r="G845" s="1">
        <v>56.04</v>
      </c>
      <c r="H845" s="1">
        <v>10</v>
      </c>
      <c r="I845" s="1">
        <f t="shared" si="26"/>
        <v>28.02</v>
      </c>
      <c r="J845">
        <f t="shared" si="27"/>
        <v>588.41999999999996</v>
      </c>
    </row>
    <row r="846" spans="1:10" x14ac:dyDescent="0.3">
      <c r="A846" s="1" t="s">
        <v>525</v>
      </c>
      <c r="B846" s="1" t="s">
        <v>869</v>
      </c>
      <c r="C846" s="1" t="s">
        <v>25</v>
      </c>
      <c r="D846" s="1" t="s">
        <v>26</v>
      </c>
      <c r="E846" s="1" t="s">
        <v>13</v>
      </c>
      <c r="F846" s="1" t="s">
        <v>27</v>
      </c>
      <c r="G846" s="1">
        <v>93.4</v>
      </c>
      <c r="H846" s="1">
        <v>2</v>
      </c>
      <c r="I846" s="1">
        <f t="shared" si="26"/>
        <v>9.3400000000000016</v>
      </c>
      <c r="J846">
        <f t="shared" si="27"/>
        <v>196.14000000000001</v>
      </c>
    </row>
    <row r="847" spans="1:10" x14ac:dyDescent="0.3">
      <c r="A847" s="1" t="s">
        <v>525</v>
      </c>
      <c r="B847" s="1" t="s">
        <v>870</v>
      </c>
      <c r="C847" s="1" t="s">
        <v>16</v>
      </c>
      <c r="D847" s="1" t="s">
        <v>17</v>
      </c>
      <c r="E847" s="1" t="s">
        <v>18</v>
      </c>
      <c r="F847" s="1" t="s">
        <v>14</v>
      </c>
      <c r="G847" s="1">
        <v>33.64</v>
      </c>
      <c r="H847" s="1">
        <v>8</v>
      </c>
      <c r="I847" s="1">
        <f t="shared" ref="I847:I867" si="28">(G847*H847)*5%</f>
        <v>13.456000000000001</v>
      </c>
      <c r="J847">
        <f t="shared" si="27"/>
        <v>282.57600000000002</v>
      </c>
    </row>
    <row r="848" spans="1:10" x14ac:dyDescent="0.3">
      <c r="A848" s="1" t="s">
        <v>525</v>
      </c>
      <c r="B848" s="1" t="s">
        <v>871</v>
      </c>
      <c r="C848" s="1" t="s">
        <v>25</v>
      </c>
      <c r="D848" s="1" t="s">
        <v>26</v>
      </c>
      <c r="E848" s="1" t="s">
        <v>13</v>
      </c>
      <c r="F848" s="1" t="s">
        <v>29</v>
      </c>
      <c r="G848" s="1">
        <v>83.77</v>
      </c>
      <c r="H848" s="1">
        <v>2</v>
      </c>
      <c r="I848" s="1">
        <f t="shared" si="28"/>
        <v>8.3770000000000007</v>
      </c>
      <c r="J848">
        <f t="shared" si="27"/>
        <v>175.917</v>
      </c>
    </row>
    <row r="849" spans="1:10" x14ac:dyDescent="0.3">
      <c r="A849" s="1" t="s">
        <v>525</v>
      </c>
      <c r="B849" s="1" t="s">
        <v>872</v>
      </c>
      <c r="C849" s="1" t="s">
        <v>16</v>
      </c>
      <c r="D849" s="1" t="s">
        <v>17</v>
      </c>
      <c r="E849" s="1" t="s">
        <v>18</v>
      </c>
      <c r="F849" s="1" t="s">
        <v>14</v>
      </c>
      <c r="G849" s="1">
        <v>58.95</v>
      </c>
      <c r="H849" s="1">
        <v>10</v>
      </c>
      <c r="I849" s="1">
        <f t="shared" si="28"/>
        <v>29.475000000000001</v>
      </c>
      <c r="J849">
        <f t="shared" si="27"/>
        <v>618.97500000000002</v>
      </c>
    </row>
    <row r="850" spans="1:10" x14ac:dyDescent="0.3">
      <c r="A850" s="1" t="s">
        <v>525</v>
      </c>
      <c r="B850" s="1" t="s">
        <v>873</v>
      </c>
      <c r="C850" s="1" t="s">
        <v>11</v>
      </c>
      <c r="D850" s="1" t="s">
        <v>12</v>
      </c>
      <c r="E850" s="1" t="s">
        <v>13</v>
      </c>
      <c r="F850" s="1" t="s">
        <v>27</v>
      </c>
      <c r="G850" s="1">
        <v>48.5</v>
      </c>
      <c r="H850" s="1">
        <v>6</v>
      </c>
      <c r="I850" s="1">
        <f t="shared" si="28"/>
        <v>14.55</v>
      </c>
      <c r="J850">
        <f t="shared" si="27"/>
        <v>305.55</v>
      </c>
    </row>
    <row r="851" spans="1:10" x14ac:dyDescent="0.3">
      <c r="A851" s="1" t="s">
        <v>525</v>
      </c>
      <c r="B851" s="1" t="s">
        <v>874</v>
      </c>
      <c r="C851" s="1" t="s">
        <v>11</v>
      </c>
      <c r="D851" s="1" t="s">
        <v>12</v>
      </c>
      <c r="E851" s="1" t="s">
        <v>13</v>
      </c>
      <c r="F851" s="1" t="s">
        <v>29</v>
      </c>
      <c r="G851" s="1">
        <v>21.48</v>
      </c>
      <c r="H851" s="1">
        <v>2</v>
      </c>
      <c r="I851" s="1">
        <f t="shared" si="28"/>
        <v>2.1480000000000001</v>
      </c>
      <c r="J851">
        <f t="shared" si="27"/>
        <v>45.108000000000004</v>
      </c>
    </row>
    <row r="852" spans="1:10" x14ac:dyDescent="0.3">
      <c r="A852" s="1" t="s">
        <v>525</v>
      </c>
      <c r="B852" s="1" t="s">
        <v>875</v>
      </c>
      <c r="C852" s="1" t="s">
        <v>11</v>
      </c>
      <c r="D852" s="1" t="s">
        <v>12</v>
      </c>
      <c r="E852" s="1" t="s">
        <v>13</v>
      </c>
      <c r="F852" s="1" t="s">
        <v>22</v>
      </c>
      <c r="G852" s="1">
        <v>63.56</v>
      </c>
      <c r="H852" s="1">
        <v>10</v>
      </c>
      <c r="I852" s="1">
        <f t="shared" si="28"/>
        <v>31.78</v>
      </c>
      <c r="J852">
        <f t="shared" si="27"/>
        <v>667.38</v>
      </c>
    </row>
    <row r="853" spans="1:10" x14ac:dyDescent="0.3">
      <c r="A853" s="1" t="s">
        <v>525</v>
      </c>
      <c r="B853" s="1" t="s">
        <v>876</v>
      </c>
      <c r="C853" s="1" t="s">
        <v>16</v>
      </c>
      <c r="D853" s="1" t="s">
        <v>17</v>
      </c>
      <c r="E853" s="1" t="s">
        <v>13</v>
      </c>
      <c r="F853" s="1" t="s">
        <v>33</v>
      </c>
      <c r="G853" s="1">
        <v>72.88</v>
      </c>
      <c r="H853" s="1">
        <v>2</v>
      </c>
      <c r="I853" s="1">
        <f t="shared" si="28"/>
        <v>7.2880000000000003</v>
      </c>
      <c r="J853">
        <f t="shared" si="27"/>
        <v>153.048</v>
      </c>
    </row>
    <row r="854" spans="1:10" x14ac:dyDescent="0.3">
      <c r="A854" s="1" t="s">
        <v>525</v>
      </c>
      <c r="B854" s="1" t="s">
        <v>877</v>
      </c>
      <c r="C854" s="1" t="s">
        <v>16</v>
      </c>
      <c r="D854" s="1" t="s">
        <v>17</v>
      </c>
      <c r="E854" s="1" t="s">
        <v>13</v>
      </c>
      <c r="F854" s="1" t="s">
        <v>27</v>
      </c>
      <c r="G854" s="1">
        <v>55.04</v>
      </c>
      <c r="H854" s="1">
        <v>7</v>
      </c>
      <c r="I854" s="1">
        <f t="shared" si="28"/>
        <v>19.263999999999999</v>
      </c>
      <c r="J854">
        <f t="shared" si="27"/>
        <v>404.54399999999998</v>
      </c>
    </row>
    <row r="855" spans="1:10" x14ac:dyDescent="0.3">
      <c r="A855" s="1" t="s">
        <v>525</v>
      </c>
      <c r="B855" s="1" t="s">
        <v>878</v>
      </c>
      <c r="C855" s="1" t="s">
        <v>11</v>
      </c>
      <c r="D855" s="1" t="s">
        <v>12</v>
      </c>
      <c r="E855" s="1" t="s">
        <v>13</v>
      </c>
      <c r="F855" s="1" t="s">
        <v>14</v>
      </c>
      <c r="G855" s="1">
        <v>48.63</v>
      </c>
      <c r="H855" s="1">
        <v>10</v>
      </c>
      <c r="I855" s="1">
        <f t="shared" si="28"/>
        <v>24.315000000000001</v>
      </c>
      <c r="J855">
        <f t="shared" si="27"/>
        <v>510.61500000000001</v>
      </c>
    </row>
    <row r="856" spans="1:10" x14ac:dyDescent="0.3">
      <c r="A856" s="1" t="s">
        <v>525</v>
      </c>
      <c r="B856" s="1" t="s">
        <v>879</v>
      </c>
      <c r="C856" s="1" t="s">
        <v>25</v>
      </c>
      <c r="D856" s="1" t="s">
        <v>26</v>
      </c>
      <c r="E856" s="1" t="s">
        <v>18</v>
      </c>
      <c r="F856" s="1" t="s">
        <v>22</v>
      </c>
      <c r="G856" s="1">
        <v>62.19</v>
      </c>
      <c r="H856" s="1">
        <v>4</v>
      </c>
      <c r="I856" s="1">
        <f t="shared" si="28"/>
        <v>12.438000000000001</v>
      </c>
      <c r="J856">
        <f t="shared" si="27"/>
        <v>261.19799999999998</v>
      </c>
    </row>
    <row r="857" spans="1:10" x14ac:dyDescent="0.3">
      <c r="A857" s="1" t="s">
        <v>525</v>
      </c>
      <c r="B857" s="1" t="s">
        <v>880</v>
      </c>
      <c r="C857" s="1" t="s">
        <v>11</v>
      </c>
      <c r="D857" s="1" t="s">
        <v>12</v>
      </c>
      <c r="E857" s="1" t="s">
        <v>13</v>
      </c>
      <c r="F857" s="1" t="s">
        <v>19</v>
      </c>
      <c r="G857" s="1">
        <v>69.58</v>
      </c>
      <c r="H857" s="1">
        <v>9</v>
      </c>
      <c r="I857" s="1">
        <f t="shared" si="28"/>
        <v>31.311000000000003</v>
      </c>
      <c r="J857">
        <f t="shared" si="27"/>
        <v>657.53100000000006</v>
      </c>
    </row>
    <row r="858" spans="1:10" x14ac:dyDescent="0.3">
      <c r="A858" s="1" t="s">
        <v>525</v>
      </c>
      <c r="B858" s="1" t="s">
        <v>881</v>
      </c>
      <c r="C858" s="1" t="s">
        <v>16</v>
      </c>
      <c r="D858" s="1" t="s">
        <v>17</v>
      </c>
      <c r="E858" s="1" t="s">
        <v>18</v>
      </c>
      <c r="F858" s="1" t="s">
        <v>22</v>
      </c>
      <c r="G858" s="1">
        <v>97.5</v>
      </c>
      <c r="H858" s="1">
        <v>10</v>
      </c>
      <c r="I858" s="1">
        <f t="shared" si="28"/>
        <v>48.75</v>
      </c>
      <c r="J858">
        <f t="shared" si="27"/>
        <v>1023.75</v>
      </c>
    </row>
    <row r="859" spans="1:10" x14ac:dyDescent="0.3">
      <c r="A859" s="1" t="s">
        <v>525</v>
      </c>
      <c r="B859" s="1" t="s">
        <v>882</v>
      </c>
      <c r="C859" s="1" t="s">
        <v>25</v>
      </c>
      <c r="D859" s="1" t="s">
        <v>26</v>
      </c>
      <c r="E859" s="1" t="s">
        <v>18</v>
      </c>
      <c r="F859" s="1" t="s">
        <v>27</v>
      </c>
      <c r="G859" s="1">
        <v>32.32</v>
      </c>
      <c r="H859" s="1">
        <v>3</v>
      </c>
      <c r="I859" s="1">
        <f t="shared" si="28"/>
        <v>4.8480000000000008</v>
      </c>
      <c r="J859">
        <f t="shared" si="27"/>
        <v>101.80800000000001</v>
      </c>
    </row>
    <row r="860" spans="1:10" x14ac:dyDescent="0.3">
      <c r="A860" s="1" t="s">
        <v>525</v>
      </c>
      <c r="B860" s="1" t="s">
        <v>883</v>
      </c>
      <c r="C860" s="1" t="s">
        <v>25</v>
      </c>
      <c r="D860" s="1" t="s">
        <v>26</v>
      </c>
      <c r="E860" s="1" t="s">
        <v>13</v>
      </c>
      <c r="F860" s="1" t="s">
        <v>14</v>
      </c>
      <c r="G860" s="1">
        <v>80.47</v>
      </c>
      <c r="H860" s="1">
        <v>9</v>
      </c>
      <c r="I860" s="1">
        <f t="shared" si="28"/>
        <v>36.211500000000001</v>
      </c>
      <c r="J860">
        <f t="shared" si="27"/>
        <v>760.44150000000002</v>
      </c>
    </row>
    <row r="861" spans="1:10" x14ac:dyDescent="0.3">
      <c r="A861" s="1" t="s">
        <v>525</v>
      </c>
      <c r="B861" s="1" t="s">
        <v>884</v>
      </c>
      <c r="C861" s="1" t="s">
        <v>25</v>
      </c>
      <c r="D861" s="1" t="s">
        <v>26</v>
      </c>
      <c r="E861" s="1" t="s">
        <v>18</v>
      </c>
      <c r="F861" s="1" t="s">
        <v>14</v>
      </c>
      <c r="G861" s="1">
        <v>71.77</v>
      </c>
      <c r="H861" s="1">
        <v>7</v>
      </c>
      <c r="I861" s="1">
        <f t="shared" si="28"/>
        <v>25.119500000000002</v>
      </c>
      <c r="J861">
        <f t="shared" si="27"/>
        <v>527.5095</v>
      </c>
    </row>
    <row r="862" spans="1:10" x14ac:dyDescent="0.3">
      <c r="A862" s="1" t="s">
        <v>525</v>
      </c>
      <c r="B862" s="1" t="s">
        <v>885</v>
      </c>
      <c r="C862" s="1" t="s">
        <v>16</v>
      </c>
      <c r="D862" s="1" t="s">
        <v>17</v>
      </c>
      <c r="E862" s="1" t="s">
        <v>13</v>
      </c>
      <c r="F862" s="1" t="s">
        <v>27</v>
      </c>
      <c r="G862" s="1">
        <v>68.98</v>
      </c>
      <c r="H862" s="1">
        <v>1</v>
      </c>
      <c r="I862" s="1">
        <f t="shared" si="28"/>
        <v>3.4490000000000003</v>
      </c>
      <c r="J862">
        <f t="shared" si="27"/>
        <v>72.429000000000002</v>
      </c>
    </row>
    <row r="863" spans="1:10" x14ac:dyDescent="0.3">
      <c r="A863" s="1" t="s">
        <v>525</v>
      </c>
      <c r="B863" s="1" t="s">
        <v>886</v>
      </c>
      <c r="C863" s="1" t="s">
        <v>16</v>
      </c>
      <c r="D863" s="1" t="s">
        <v>17</v>
      </c>
      <c r="E863" s="1" t="s">
        <v>18</v>
      </c>
      <c r="F863" s="1" t="s">
        <v>29</v>
      </c>
      <c r="G863" s="1">
        <v>15.62</v>
      </c>
      <c r="H863" s="1">
        <v>8</v>
      </c>
      <c r="I863" s="1">
        <f t="shared" si="28"/>
        <v>6.2480000000000002</v>
      </c>
      <c r="J863">
        <f t="shared" si="27"/>
        <v>131.208</v>
      </c>
    </row>
    <row r="864" spans="1:10" x14ac:dyDescent="0.3">
      <c r="A864" s="1" t="s">
        <v>525</v>
      </c>
      <c r="B864" s="1" t="s">
        <v>887</v>
      </c>
      <c r="C864" s="1" t="s">
        <v>11</v>
      </c>
      <c r="D864" s="1" t="s">
        <v>12</v>
      </c>
      <c r="E864" s="1" t="s">
        <v>18</v>
      </c>
      <c r="F864" s="1" t="s">
        <v>33</v>
      </c>
      <c r="G864" s="1">
        <v>25.7</v>
      </c>
      <c r="H864" s="1">
        <v>3</v>
      </c>
      <c r="I864" s="1">
        <f t="shared" si="28"/>
        <v>3.855</v>
      </c>
      <c r="J864">
        <f t="shared" si="27"/>
        <v>80.954999999999998</v>
      </c>
    </row>
    <row r="865" spans="1:10" x14ac:dyDescent="0.3">
      <c r="A865" s="1" t="s">
        <v>525</v>
      </c>
      <c r="B865" s="1" t="s">
        <v>888</v>
      </c>
      <c r="C865" s="1" t="s">
        <v>11</v>
      </c>
      <c r="D865" s="1" t="s">
        <v>12</v>
      </c>
      <c r="E865" s="1" t="s">
        <v>13</v>
      </c>
      <c r="F865" s="1" t="s">
        <v>27</v>
      </c>
      <c r="G865" s="1">
        <v>80.62</v>
      </c>
      <c r="H865" s="1">
        <v>6</v>
      </c>
      <c r="I865" s="1">
        <f t="shared" si="28"/>
        <v>24.186000000000003</v>
      </c>
      <c r="J865">
        <f t="shared" si="27"/>
        <v>507.90600000000001</v>
      </c>
    </row>
    <row r="866" spans="1:10" x14ac:dyDescent="0.3">
      <c r="A866" s="1" t="s">
        <v>525</v>
      </c>
      <c r="B866" s="1" t="s">
        <v>889</v>
      </c>
      <c r="C866" s="1" t="s">
        <v>16</v>
      </c>
      <c r="D866" s="1" t="s">
        <v>17</v>
      </c>
      <c r="E866" s="1" t="s">
        <v>13</v>
      </c>
      <c r="F866" s="1" t="s">
        <v>29</v>
      </c>
      <c r="G866" s="1">
        <v>98.7</v>
      </c>
      <c r="H866" s="1">
        <v>8</v>
      </c>
      <c r="I866" s="1">
        <f t="shared" si="28"/>
        <v>39.480000000000004</v>
      </c>
      <c r="J866">
        <f t="shared" si="27"/>
        <v>829.08</v>
      </c>
    </row>
    <row r="867" spans="1:10" x14ac:dyDescent="0.3">
      <c r="A867" s="1" t="s">
        <v>525</v>
      </c>
      <c r="B867" s="1" t="s">
        <v>890</v>
      </c>
      <c r="C867" s="1" t="s">
        <v>11</v>
      </c>
      <c r="D867" s="1" t="s">
        <v>12</v>
      </c>
      <c r="E867" s="1" t="s">
        <v>13</v>
      </c>
      <c r="F867" s="1" t="s">
        <v>19</v>
      </c>
      <c r="G867" s="1">
        <v>11.94</v>
      </c>
      <c r="H867" s="1">
        <v>3</v>
      </c>
      <c r="I867" s="1">
        <f t="shared" si="28"/>
        <v>1.7910000000000001</v>
      </c>
      <c r="J867">
        <f t="shared" si="27"/>
        <v>37.610999999999997</v>
      </c>
    </row>
    <row r="868" spans="1:10" x14ac:dyDescent="0.3">
      <c r="A868" s="1" t="s">
        <v>525</v>
      </c>
      <c r="B868" s="1" t="s">
        <v>891</v>
      </c>
      <c r="C868" s="1" t="s">
        <v>11</v>
      </c>
      <c r="D868" s="1" t="s">
        <v>12</v>
      </c>
      <c r="E868" s="1" t="s">
        <v>18</v>
      </c>
      <c r="F868" s="1" t="s">
        <v>29</v>
      </c>
      <c r="G868" s="1">
        <v>45.38</v>
      </c>
      <c r="H868" s="1">
        <v>3</v>
      </c>
      <c r="I868" s="1">
        <f>(G868*H868)*5%</f>
        <v>6.8070000000000013</v>
      </c>
      <c r="J868">
        <f t="shared" si="27"/>
        <v>142.947</v>
      </c>
    </row>
    <row r="869" spans="1:10" x14ac:dyDescent="0.3">
      <c r="A869" s="1" t="s">
        <v>525</v>
      </c>
      <c r="B869" s="1" t="s">
        <v>892</v>
      </c>
      <c r="C869" s="1" t="s">
        <v>25</v>
      </c>
      <c r="D869" s="1" t="s">
        <v>26</v>
      </c>
      <c r="E869" s="1" t="s">
        <v>18</v>
      </c>
      <c r="F869" s="1" t="s">
        <v>22</v>
      </c>
      <c r="G869" s="1">
        <v>44.12</v>
      </c>
      <c r="H869" s="1">
        <v>3</v>
      </c>
      <c r="I869" s="1">
        <f t="shared" ref="I869:I932" si="29">(G869*H869)*5%</f>
        <v>6.6179999999999994</v>
      </c>
      <c r="J869">
        <f t="shared" si="27"/>
        <v>138.97799999999998</v>
      </c>
    </row>
    <row r="870" spans="1:10" x14ac:dyDescent="0.3">
      <c r="A870" s="1" t="s">
        <v>525</v>
      </c>
      <c r="B870" s="1" t="s">
        <v>893</v>
      </c>
      <c r="C870" s="1" t="s">
        <v>25</v>
      </c>
      <c r="D870" s="1" t="s">
        <v>26</v>
      </c>
      <c r="E870" s="1" t="s">
        <v>13</v>
      </c>
      <c r="F870" s="1" t="s">
        <v>27</v>
      </c>
      <c r="G870" s="1">
        <v>23.34</v>
      </c>
      <c r="H870" s="1">
        <v>4</v>
      </c>
      <c r="I870" s="1">
        <f t="shared" si="29"/>
        <v>4.6680000000000001</v>
      </c>
      <c r="J870">
        <f t="shared" si="27"/>
        <v>98.028000000000006</v>
      </c>
    </row>
    <row r="871" spans="1:10" x14ac:dyDescent="0.3">
      <c r="A871" s="1" t="s">
        <v>525</v>
      </c>
      <c r="B871" s="1" t="s">
        <v>894</v>
      </c>
      <c r="C871" s="1" t="s">
        <v>16</v>
      </c>
      <c r="D871" s="1" t="s">
        <v>17</v>
      </c>
      <c r="E871" s="1" t="s">
        <v>13</v>
      </c>
      <c r="F871" s="1" t="s">
        <v>22</v>
      </c>
      <c r="G871" s="1">
        <v>55.57</v>
      </c>
      <c r="H871" s="1">
        <v>3</v>
      </c>
      <c r="I871" s="1">
        <f t="shared" si="29"/>
        <v>8.3355000000000015</v>
      </c>
      <c r="J871">
        <f t="shared" si="27"/>
        <v>175.0455</v>
      </c>
    </row>
    <row r="872" spans="1:10" x14ac:dyDescent="0.3">
      <c r="A872" s="1" t="s">
        <v>525</v>
      </c>
      <c r="B872" s="1" t="s">
        <v>895</v>
      </c>
      <c r="C872" s="1" t="s">
        <v>25</v>
      </c>
      <c r="D872" s="1" t="s">
        <v>26</v>
      </c>
      <c r="E872" s="1" t="s">
        <v>18</v>
      </c>
      <c r="F872" s="1" t="s">
        <v>33</v>
      </c>
      <c r="G872" s="1">
        <v>69.739999999999995</v>
      </c>
      <c r="H872" s="1">
        <v>10</v>
      </c>
      <c r="I872" s="1">
        <f t="shared" si="29"/>
        <v>34.869999999999997</v>
      </c>
      <c r="J872">
        <f t="shared" si="27"/>
        <v>732.27</v>
      </c>
    </row>
    <row r="873" spans="1:10" x14ac:dyDescent="0.3">
      <c r="A873" s="1" t="s">
        <v>525</v>
      </c>
      <c r="B873" s="1" t="s">
        <v>896</v>
      </c>
      <c r="C873" s="1" t="s">
        <v>16</v>
      </c>
      <c r="D873" s="1" t="s">
        <v>17</v>
      </c>
      <c r="E873" s="1" t="s">
        <v>18</v>
      </c>
      <c r="F873" s="1" t="s">
        <v>29</v>
      </c>
      <c r="G873" s="1">
        <v>97.26</v>
      </c>
      <c r="H873" s="1">
        <v>4</v>
      </c>
      <c r="I873" s="1">
        <f t="shared" si="29"/>
        <v>19.452000000000002</v>
      </c>
      <c r="J873">
        <f t="shared" si="27"/>
        <v>408.49200000000002</v>
      </c>
    </row>
    <row r="874" spans="1:10" x14ac:dyDescent="0.3">
      <c r="A874" s="1" t="s">
        <v>525</v>
      </c>
      <c r="B874" s="1" t="s">
        <v>897</v>
      </c>
      <c r="C874" s="1" t="s">
        <v>11</v>
      </c>
      <c r="D874" s="1" t="s">
        <v>12</v>
      </c>
      <c r="E874" s="1" t="s">
        <v>18</v>
      </c>
      <c r="F874" s="1" t="s">
        <v>14</v>
      </c>
      <c r="G874" s="1">
        <v>56</v>
      </c>
      <c r="H874" s="1">
        <v>3</v>
      </c>
      <c r="I874" s="1">
        <f t="shared" si="29"/>
        <v>8.4</v>
      </c>
      <c r="J874">
        <f t="shared" si="27"/>
        <v>176.4</v>
      </c>
    </row>
    <row r="875" spans="1:10" x14ac:dyDescent="0.3">
      <c r="A875" s="1" t="s">
        <v>525</v>
      </c>
      <c r="B875" s="1" t="s">
        <v>898</v>
      </c>
      <c r="C875" s="1" t="s">
        <v>11</v>
      </c>
      <c r="D875" s="1" t="s">
        <v>12</v>
      </c>
      <c r="E875" s="1" t="s">
        <v>13</v>
      </c>
      <c r="F875" s="1" t="s">
        <v>29</v>
      </c>
      <c r="G875" s="1">
        <v>19.7</v>
      </c>
      <c r="H875" s="1">
        <v>1</v>
      </c>
      <c r="I875" s="1">
        <f t="shared" si="29"/>
        <v>0.98499999999999999</v>
      </c>
      <c r="J875">
        <f t="shared" si="27"/>
        <v>20.684999999999999</v>
      </c>
    </row>
    <row r="876" spans="1:10" x14ac:dyDescent="0.3">
      <c r="A876" s="1" t="s">
        <v>525</v>
      </c>
      <c r="B876" s="1" t="s">
        <v>899</v>
      </c>
      <c r="C876" s="1" t="s">
        <v>25</v>
      </c>
      <c r="D876" s="1" t="s">
        <v>26</v>
      </c>
      <c r="E876" s="1" t="s">
        <v>18</v>
      </c>
      <c r="F876" s="1" t="s">
        <v>19</v>
      </c>
      <c r="G876" s="1">
        <v>75.88</v>
      </c>
      <c r="H876" s="1">
        <v>7</v>
      </c>
      <c r="I876" s="1">
        <f t="shared" si="29"/>
        <v>26.558</v>
      </c>
      <c r="J876">
        <f t="shared" si="27"/>
        <v>557.71799999999996</v>
      </c>
    </row>
    <row r="877" spans="1:10" x14ac:dyDescent="0.3">
      <c r="A877" s="1" t="s">
        <v>525</v>
      </c>
      <c r="B877" s="1" t="s">
        <v>900</v>
      </c>
      <c r="C877" s="1" t="s">
        <v>25</v>
      </c>
      <c r="D877" s="1" t="s">
        <v>26</v>
      </c>
      <c r="E877" s="1" t="s">
        <v>13</v>
      </c>
      <c r="F877" s="1" t="s">
        <v>27</v>
      </c>
      <c r="G877" s="1">
        <v>53.72</v>
      </c>
      <c r="H877" s="1">
        <v>1</v>
      </c>
      <c r="I877" s="1">
        <f t="shared" si="29"/>
        <v>2.6859999999999999</v>
      </c>
      <c r="J877">
        <f t="shared" si="27"/>
        <v>56.405999999999999</v>
      </c>
    </row>
    <row r="878" spans="1:10" x14ac:dyDescent="0.3">
      <c r="A878" s="1" t="s">
        <v>525</v>
      </c>
      <c r="B878" s="1" t="s">
        <v>901</v>
      </c>
      <c r="C878" s="1" t="s">
        <v>16</v>
      </c>
      <c r="D878" s="1" t="s">
        <v>17</v>
      </c>
      <c r="E878" s="1" t="s">
        <v>13</v>
      </c>
      <c r="F878" s="1" t="s">
        <v>14</v>
      </c>
      <c r="G878" s="1">
        <v>81.95</v>
      </c>
      <c r="H878" s="1">
        <v>10</v>
      </c>
      <c r="I878" s="1">
        <f t="shared" si="29"/>
        <v>40.975000000000001</v>
      </c>
      <c r="J878">
        <f t="shared" si="27"/>
        <v>860.47500000000002</v>
      </c>
    </row>
    <row r="879" spans="1:10" x14ac:dyDescent="0.3">
      <c r="A879" s="1" t="s">
        <v>525</v>
      </c>
      <c r="B879" s="1" t="s">
        <v>902</v>
      </c>
      <c r="C879" s="1" t="s">
        <v>16</v>
      </c>
      <c r="D879" s="1" t="s">
        <v>17</v>
      </c>
      <c r="E879" s="1" t="s">
        <v>18</v>
      </c>
      <c r="F879" s="1" t="s">
        <v>19</v>
      </c>
      <c r="G879" s="1">
        <v>58.76</v>
      </c>
      <c r="H879" s="1">
        <v>10</v>
      </c>
      <c r="I879" s="1">
        <f t="shared" si="29"/>
        <v>29.380000000000003</v>
      </c>
      <c r="J879">
        <f t="shared" si="27"/>
        <v>616.98</v>
      </c>
    </row>
    <row r="880" spans="1:10" x14ac:dyDescent="0.3">
      <c r="A880" s="1" t="s">
        <v>525</v>
      </c>
      <c r="B880" s="1" t="s">
        <v>903</v>
      </c>
      <c r="C880" s="1" t="s">
        <v>25</v>
      </c>
      <c r="D880" s="1" t="s">
        <v>26</v>
      </c>
      <c r="E880" s="1" t="s">
        <v>13</v>
      </c>
      <c r="F880" s="1" t="s">
        <v>19</v>
      </c>
      <c r="G880" s="1">
        <v>91.56</v>
      </c>
      <c r="H880" s="1">
        <v>8</v>
      </c>
      <c r="I880" s="1">
        <f t="shared" si="29"/>
        <v>36.624000000000002</v>
      </c>
      <c r="J880">
        <f t="shared" si="27"/>
        <v>769.10400000000004</v>
      </c>
    </row>
    <row r="881" spans="1:10" x14ac:dyDescent="0.3">
      <c r="A881" s="1" t="s">
        <v>525</v>
      </c>
      <c r="B881" s="1" t="s">
        <v>904</v>
      </c>
      <c r="C881" s="1" t="s">
        <v>11</v>
      </c>
      <c r="D881" s="1" t="s">
        <v>12</v>
      </c>
      <c r="E881" s="1" t="s">
        <v>18</v>
      </c>
      <c r="F881" s="1" t="s">
        <v>22</v>
      </c>
      <c r="G881" s="1">
        <v>93.96</v>
      </c>
      <c r="H881" s="1">
        <v>9</v>
      </c>
      <c r="I881" s="1">
        <f t="shared" si="29"/>
        <v>42.282000000000004</v>
      </c>
      <c r="J881">
        <f t="shared" si="27"/>
        <v>887.92200000000003</v>
      </c>
    </row>
    <row r="882" spans="1:10" x14ac:dyDescent="0.3">
      <c r="A882" s="1" t="s">
        <v>525</v>
      </c>
      <c r="B882" s="1" t="s">
        <v>905</v>
      </c>
      <c r="C882" s="1" t="s">
        <v>16</v>
      </c>
      <c r="D882" s="1" t="s">
        <v>17</v>
      </c>
      <c r="E882" s="1" t="s">
        <v>18</v>
      </c>
      <c r="F882" s="1" t="s">
        <v>22</v>
      </c>
      <c r="G882" s="1">
        <v>55.61</v>
      </c>
      <c r="H882" s="1">
        <v>7</v>
      </c>
      <c r="I882" s="1">
        <f t="shared" si="29"/>
        <v>19.4635</v>
      </c>
      <c r="J882">
        <f t="shared" si="27"/>
        <v>408.73349999999999</v>
      </c>
    </row>
    <row r="883" spans="1:10" x14ac:dyDescent="0.3">
      <c r="A883" s="1" t="s">
        <v>525</v>
      </c>
      <c r="B883" s="1" t="s">
        <v>906</v>
      </c>
      <c r="C883" s="1" t="s">
        <v>16</v>
      </c>
      <c r="D883" s="1" t="s">
        <v>17</v>
      </c>
      <c r="E883" s="1" t="s">
        <v>18</v>
      </c>
      <c r="F883" s="1" t="s">
        <v>27</v>
      </c>
      <c r="G883" s="1">
        <v>84.83</v>
      </c>
      <c r="H883" s="1">
        <v>1</v>
      </c>
      <c r="I883" s="1">
        <f t="shared" si="29"/>
        <v>4.2415000000000003</v>
      </c>
      <c r="J883">
        <f t="shared" si="27"/>
        <v>89.0715</v>
      </c>
    </row>
    <row r="884" spans="1:10" x14ac:dyDescent="0.3">
      <c r="A884" s="1" t="s">
        <v>525</v>
      </c>
      <c r="B884" s="1" t="s">
        <v>907</v>
      </c>
      <c r="C884" s="1" t="s">
        <v>11</v>
      </c>
      <c r="D884" s="1" t="s">
        <v>12</v>
      </c>
      <c r="E884" s="1" t="s">
        <v>13</v>
      </c>
      <c r="F884" s="1" t="s">
        <v>22</v>
      </c>
      <c r="G884" s="1">
        <v>37.69</v>
      </c>
      <c r="H884" s="1">
        <v>2</v>
      </c>
      <c r="I884" s="1">
        <f t="shared" si="29"/>
        <v>3.7690000000000001</v>
      </c>
      <c r="J884">
        <f t="shared" si="27"/>
        <v>79.149000000000001</v>
      </c>
    </row>
    <row r="885" spans="1:10" x14ac:dyDescent="0.3">
      <c r="A885" s="1" t="s">
        <v>525</v>
      </c>
      <c r="B885" s="1" t="s">
        <v>908</v>
      </c>
      <c r="C885" s="1" t="s">
        <v>25</v>
      </c>
      <c r="D885" s="1" t="s">
        <v>26</v>
      </c>
      <c r="E885" s="1" t="s">
        <v>13</v>
      </c>
      <c r="F885" s="1" t="s">
        <v>29</v>
      </c>
      <c r="G885" s="1">
        <v>65.23</v>
      </c>
      <c r="H885" s="1">
        <v>10</v>
      </c>
      <c r="I885" s="1">
        <f t="shared" si="29"/>
        <v>32.615000000000002</v>
      </c>
      <c r="J885">
        <f t="shared" si="27"/>
        <v>684.91500000000008</v>
      </c>
    </row>
    <row r="886" spans="1:10" x14ac:dyDescent="0.3">
      <c r="A886" s="1" t="s">
        <v>525</v>
      </c>
      <c r="B886" s="1" t="s">
        <v>909</v>
      </c>
      <c r="C886" s="1" t="s">
        <v>16</v>
      </c>
      <c r="D886" s="1" t="s">
        <v>17</v>
      </c>
      <c r="E886" s="1" t="s">
        <v>13</v>
      </c>
      <c r="F886" s="1" t="s">
        <v>14</v>
      </c>
      <c r="G886" s="1">
        <v>81.23</v>
      </c>
      <c r="H886" s="1">
        <v>7</v>
      </c>
      <c r="I886" s="1">
        <f t="shared" si="29"/>
        <v>28.430500000000002</v>
      </c>
      <c r="J886">
        <f t="shared" si="27"/>
        <v>597.04050000000007</v>
      </c>
    </row>
    <row r="887" spans="1:10" x14ac:dyDescent="0.3">
      <c r="A887" s="1" t="s">
        <v>525</v>
      </c>
      <c r="B887" s="1" t="s">
        <v>910</v>
      </c>
      <c r="C887" s="1" t="s">
        <v>25</v>
      </c>
      <c r="D887" s="1" t="s">
        <v>26</v>
      </c>
      <c r="E887" s="1" t="s">
        <v>18</v>
      </c>
      <c r="F887" s="1" t="s">
        <v>22</v>
      </c>
      <c r="G887" s="1">
        <v>73.28</v>
      </c>
      <c r="H887" s="1">
        <v>5</v>
      </c>
      <c r="I887" s="1">
        <f t="shared" si="29"/>
        <v>18.32</v>
      </c>
      <c r="J887">
        <f t="shared" si="27"/>
        <v>384.71999999999997</v>
      </c>
    </row>
    <row r="888" spans="1:10" x14ac:dyDescent="0.3">
      <c r="A888" s="1" t="s">
        <v>525</v>
      </c>
      <c r="B888" s="1" t="s">
        <v>911</v>
      </c>
      <c r="C888" s="1" t="s">
        <v>11</v>
      </c>
      <c r="D888" s="1" t="s">
        <v>12</v>
      </c>
      <c r="E888" s="1" t="s">
        <v>13</v>
      </c>
      <c r="F888" s="1" t="s">
        <v>27</v>
      </c>
      <c r="G888" s="1">
        <v>18.850000000000001</v>
      </c>
      <c r="H888" s="1">
        <v>10</v>
      </c>
      <c r="I888" s="1">
        <f t="shared" si="29"/>
        <v>9.4250000000000007</v>
      </c>
      <c r="J888">
        <f t="shared" si="27"/>
        <v>197.92500000000001</v>
      </c>
    </row>
    <row r="889" spans="1:10" x14ac:dyDescent="0.3">
      <c r="A889" s="1" t="s">
        <v>525</v>
      </c>
      <c r="B889" s="1" t="s">
        <v>912</v>
      </c>
      <c r="C889" s="1" t="s">
        <v>25</v>
      </c>
      <c r="D889" s="1" t="s">
        <v>26</v>
      </c>
      <c r="E889" s="1" t="s">
        <v>18</v>
      </c>
      <c r="F889" s="1" t="s">
        <v>19</v>
      </c>
      <c r="G889" s="1">
        <v>72.13</v>
      </c>
      <c r="H889" s="1">
        <v>10</v>
      </c>
      <c r="I889" s="1">
        <f t="shared" si="29"/>
        <v>36.064999999999998</v>
      </c>
      <c r="J889">
        <f t="shared" si="27"/>
        <v>757.36500000000001</v>
      </c>
    </row>
    <row r="890" spans="1:10" x14ac:dyDescent="0.3">
      <c r="A890" s="1" t="s">
        <v>525</v>
      </c>
      <c r="B890" s="1" t="s">
        <v>913</v>
      </c>
      <c r="C890" s="1" t="s">
        <v>11</v>
      </c>
      <c r="D890" s="1" t="s">
        <v>12</v>
      </c>
      <c r="E890" s="1" t="s">
        <v>13</v>
      </c>
      <c r="F890" s="1" t="s">
        <v>14</v>
      </c>
      <c r="G890" s="1">
        <v>55.5</v>
      </c>
      <c r="H890" s="1">
        <v>4</v>
      </c>
      <c r="I890" s="1">
        <f t="shared" si="29"/>
        <v>11.100000000000001</v>
      </c>
      <c r="J890">
        <f t="shared" si="27"/>
        <v>233.1</v>
      </c>
    </row>
    <row r="891" spans="1:10" x14ac:dyDescent="0.3">
      <c r="A891" s="1" t="s">
        <v>525</v>
      </c>
      <c r="B891" s="1" t="s">
        <v>914</v>
      </c>
      <c r="C891" s="1" t="s">
        <v>25</v>
      </c>
      <c r="D891" s="1" t="s">
        <v>26</v>
      </c>
      <c r="E891" s="1" t="s">
        <v>18</v>
      </c>
      <c r="F891" s="1" t="s">
        <v>33</v>
      </c>
      <c r="G891" s="1">
        <v>13.69</v>
      </c>
      <c r="H891" s="1">
        <v>6</v>
      </c>
      <c r="I891" s="1">
        <f t="shared" si="29"/>
        <v>4.1070000000000002</v>
      </c>
      <c r="J891">
        <f t="shared" si="27"/>
        <v>86.247</v>
      </c>
    </row>
    <row r="892" spans="1:10" x14ac:dyDescent="0.3">
      <c r="A892" s="1" t="s">
        <v>525</v>
      </c>
      <c r="B892" s="1" t="s">
        <v>915</v>
      </c>
      <c r="C892" s="1" t="s">
        <v>16</v>
      </c>
      <c r="D892" s="1" t="s">
        <v>17</v>
      </c>
      <c r="E892" s="1" t="s">
        <v>13</v>
      </c>
      <c r="F892" s="1" t="s">
        <v>27</v>
      </c>
      <c r="G892" s="1">
        <v>65.650000000000006</v>
      </c>
      <c r="H892" s="1">
        <v>2</v>
      </c>
      <c r="I892" s="1">
        <f t="shared" si="29"/>
        <v>6.5650000000000013</v>
      </c>
      <c r="J892">
        <f t="shared" si="27"/>
        <v>137.86500000000001</v>
      </c>
    </row>
    <row r="893" spans="1:10" x14ac:dyDescent="0.3">
      <c r="A893" s="1" t="s">
        <v>525</v>
      </c>
      <c r="B893" s="1" t="s">
        <v>916</v>
      </c>
      <c r="C893" s="1" t="s">
        <v>16</v>
      </c>
      <c r="D893" s="1" t="s">
        <v>17</v>
      </c>
      <c r="E893" s="1" t="s">
        <v>13</v>
      </c>
      <c r="F893" s="1" t="s">
        <v>14</v>
      </c>
      <c r="G893" s="1">
        <v>65.31</v>
      </c>
      <c r="H893" s="1">
        <v>7</v>
      </c>
      <c r="I893" s="1">
        <f t="shared" si="29"/>
        <v>22.858500000000003</v>
      </c>
      <c r="J893">
        <f t="shared" si="27"/>
        <v>480.02850000000001</v>
      </c>
    </row>
    <row r="894" spans="1:10" x14ac:dyDescent="0.3">
      <c r="A894" s="1" t="s">
        <v>525</v>
      </c>
      <c r="B894" s="1" t="s">
        <v>917</v>
      </c>
      <c r="C894" s="1" t="s">
        <v>25</v>
      </c>
      <c r="D894" s="1" t="s">
        <v>26</v>
      </c>
      <c r="E894" s="1" t="s">
        <v>18</v>
      </c>
      <c r="F894" s="1" t="s">
        <v>33</v>
      </c>
      <c r="G894" s="1">
        <v>93.38</v>
      </c>
      <c r="H894" s="1">
        <v>1</v>
      </c>
      <c r="I894" s="1">
        <f t="shared" si="29"/>
        <v>4.6689999999999996</v>
      </c>
      <c r="J894">
        <f t="shared" si="27"/>
        <v>98.048999999999992</v>
      </c>
    </row>
    <row r="895" spans="1:10" x14ac:dyDescent="0.3">
      <c r="A895" s="1" t="s">
        <v>525</v>
      </c>
      <c r="B895" s="1" t="s">
        <v>918</v>
      </c>
      <c r="C895" s="1" t="s">
        <v>16</v>
      </c>
      <c r="D895" s="1" t="s">
        <v>17</v>
      </c>
      <c r="E895" s="1" t="s">
        <v>13</v>
      </c>
      <c r="F895" s="1" t="s">
        <v>33</v>
      </c>
      <c r="G895" s="1">
        <v>25.25</v>
      </c>
      <c r="H895" s="1">
        <v>5</v>
      </c>
      <c r="I895" s="1">
        <f t="shared" si="29"/>
        <v>6.3125</v>
      </c>
      <c r="J895">
        <f t="shared" si="27"/>
        <v>132.5625</v>
      </c>
    </row>
    <row r="896" spans="1:10" x14ac:dyDescent="0.3">
      <c r="A896" s="1" t="s">
        <v>525</v>
      </c>
      <c r="B896" s="1" t="s">
        <v>919</v>
      </c>
      <c r="C896" s="1" t="s">
        <v>25</v>
      </c>
      <c r="D896" s="1" t="s">
        <v>26</v>
      </c>
      <c r="E896" s="1" t="s">
        <v>13</v>
      </c>
      <c r="F896" s="1" t="s">
        <v>19</v>
      </c>
      <c r="G896" s="1">
        <v>87.87</v>
      </c>
      <c r="H896" s="1">
        <v>9</v>
      </c>
      <c r="I896" s="1">
        <f t="shared" si="29"/>
        <v>39.541500000000006</v>
      </c>
      <c r="J896">
        <f t="shared" si="27"/>
        <v>830.37150000000008</v>
      </c>
    </row>
    <row r="897" spans="1:10" x14ac:dyDescent="0.3">
      <c r="A897" s="1" t="s">
        <v>525</v>
      </c>
      <c r="B897" s="1" t="s">
        <v>920</v>
      </c>
      <c r="C897" s="1" t="s">
        <v>16</v>
      </c>
      <c r="D897" s="1" t="s">
        <v>17</v>
      </c>
      <c r="E897" s="1" t="s">
        <v>18</v>
      </c>
      <c r="F897" s="1" t="s">
        <v>14</v>
      </c>
      <c r="G897" s="1">
        <v>21.8</v>
      </c>
      <c r="H897" s="1">
        <v>8</v>
      </c>
      <c r="I897" s="1">
        <f t="shared" si="29"/>
        <v>8.7200000000000006</v>
      </c>
      <c r="J897">
        <f t="shared" si="27"/>
        <v>183.12</v>
      </c>
    </row>
    <row r="898" spans="1:10" x14ac:dyDescent="0.3">
      <c r="A898" s="1" t="s">
        <v>525</v>
      </c>
      <c r="B898" s="1" t="s">
        <v>921</v>
      </c>
      <c r="C898" s="1" t="s">
        <v>11</v>
      </c>
      <c r="D898" s="1" t="s">
        <v>12</v>
      </c>
      <c r="E898" s="1" t="s">
        <v>18</v>
      </c>
      <c r="F898" s="1" t="s">
        <v>19</v>
      </c>
      <c r="G898" s="1">
        <v>74.58</v>
      </c>
      <c r="H898" s="1">
        <v>7</v>
      </c>
      <c r="I898" s="1">
        <f t="shared" si="29"/>
        <v>26.102999999999998</v>
      </c>
      <c r="J898">
        <f t="shared" si="27"/>
        <v>548.1629999999999</v>
      </c>
    </row>
    <row r="899" spans="1:10" x14ac:dyDescent="0.3">
      <c r="A899" s="1" t="s">
        <v>525</v>
      </c>
      <c r="B899" s="1" t="s">
        <v>922</v>
      </c>
      <c r="C899" s="1" t="s">
        <v>16</v>
      </c>
      <c r="D899" s="1" t="s">
        <v>17</v>
      </c>
      <c r="E899" s="1" t="s">
        <v>18</v>
      </c>
      <c r="F899" s="1" t="s">
        <v>19</v>
      </c>
      <c r="G899" s="1">
        <v>71.89</v>
      </c>
      <c r="H899" s="1">
        <v>8</v>
      </c>
      <c r="I899" s="1">
        <f t="shared" si="29"/>
        <v>28.756</v>
      </c>
      <c r="J899">
        <f t="shared" ref="J899:J962" si="30">(G899*H899)+I899</f>
        <v>603.87599999999998</v>
      </c>
    </row>
    <row r="900" spans="1:10" x14ac:dyDescent="0.3">
      <c r="A900" s="1" t="s">
        <v>525</v>
      </c>
      <c r="B900" s="1" t="s">
        <v>923</v>
      </c>
      <c r="C900" s="1" t="s">
        <v>16</v>
      </c>
      <c r="D900" s="1" t="s">
        <v>17</v>
      </c>
      <c r="E900" s="1" t="s">
        <v>13</v>
      </c>
      <c r="F900" s="1" t="s">
        <v>14</v>
      </c>
      <c r="G900" s="1">
        <v>60.47</v>
      </c>
      <c r="H900" s="1">
        <v>3</v>
      </c>
      <c r="I900" s="1">
        <f t="shared" si="29"/>
        <v>9.0705000000000009</v>
      </c>
      <c r="J900">
        <f t="shared" si="30"/>
        <v>190.48050000000001</v>
      </c>
    </row>
    <row r="901" spans="1:10" x14ac:dyDescent="0.3">
      <c r="A901" s="1" t="s">
        <v>525</v>
      </c>
      <c r="B901" s="1" t="s">
        <v>924</v>
      </c>
      <c r="C901" s="1" t="s">
        <v>11</v>
      </c>
      <c r="D901" s="1" t="s">
        <v>12</v>
      </c>
      <c r="E901" s="1" t="s">
        <v>18</v>
      </c>
      <c r="F901" s="1" t="s">
        <v>33</v>
      </c>
      <c r="G901" s="1">
        <v>58.91</v>
      </c>
      <c r="H901" s="1">
        <v>7</v>
      </c>
      <c r="I901" s="1">
        <f t="shared" si="29"/>
        <v>20.618500000000001</v>
      </c>
      <c r="J901">
        <f t="shared" si="30"/>
        <v>432.98849999999999</v>
      </c>
    </row>
    <row r="902" spans="1:10" x14ac:dyDescent="0.3">
      <c r="A902" s="1" t="s">
        <v>525</v>
      </c>
      <c r="B902" s="1" t="s">
        <v>925</v>
      </c>
      <c r="C902" s="1" t="s">
        <v>11</v>
      </c>
      <c r="D902" s="1" t="s">
        <v>12</v>
      </c>
      <c r="E902" s="1" t="s">
        <v>18</v>
      </c>
      <c r="F902" s="1" t="s">
        <v>29</v>
      </c>
      <c r="G902" s="1">
        <v>46.41</v>
      </c>
      <c r="H902" s="1">
        <v>1</v>
      </c>
      <c r="I902" s="1">
        <f t="shared" si="29"/>
        <v>2.3205</v>
      </c>
      <c r="J902">
        <f t="shared" si="30"/>
        <v>48.730499999999999</v>
      </c>
    </row>
    <row r="903" spans="1:10" x14ac:dyDescent="0.3">
      <c r="A903" s="1" t="s">
        <v>525</v>
      </c>
      <c r="B903" s="1" t="s">
        <v>926</v>
      </c>
      <c r="C903" s="1" t="s">
        <v>16</v>
      </c>
      <c r="D903" s="1" t="s">
        <v>17</v>
      </c>
      <c r="E903" s="1" t="s">
        <v>13</v>
      </c>
      <c r="F903" s="1" t="s">
        <v>14</v>
      </c>
      <c r="G903" s="1">
        <v>68.55</v>
      </c>
      <c r="H903" s="1">
        <v>4</v>
      </c>
      <c r="I903" s="1">
        <f t="shared" si="29"/>
        <v>13.71</v>
      </c>
      <c r="J903">
        <f t="shared" si="30"/>
        <v>287.90999999999997</v>
      </c>
    </row>
    <row r="904" spans="1:10" x14ac:dyDescent="0.3">
      <c r="A904" s="1" t="s">
        <v>525</v>
      </c>
      <c r="B904" s="1" t="s">
        <v>927</v>
      </c>
      <c r="C904" s="1" t="s">
        <v>11</v>
      </c>
      <c r="D904" s="1" t="s">
        <v>12</v>
      </c>
      <c r="E904" s="1" t="s">
        <v>13</v>
      </c>
      <c r="F904" s="1" t="s">
        <v>19</v>
      </c>
      <c r="G904" s="1">
        <v>92.6</v>
      </c>
      <c r="H904" s="1">
        <v>7</v>
      </c>
      <c r="I904" s="1">
        <f t="shared" si="29"/>
        <v>32.409999999999997</v>
      </c>
      <c r="J904">
        <f t="shared" si="30"/>
        <v>680.6099999999999</v>
      </c>
    </row>
    <row r="905" spans="1:10" x14ac:dyDescent="0.3">
      <c r="A905" s="1" t="s">
        <v>525</v>
      </c>
      <c r="B905" s="1" t="s">
        <v>928</v>
      </c>
      <c r="C905" s="1" t="s">
        <v>25</v>
      </c>
      <c r="D905" s="1" t="s">
        <v>26</v>
      </c>
      <c r="E905" s="1" t="s">
        <v>18</v>
      </c>
      <c r="F905" s="1" t="s">
        <v>29</v>
      </c>
      <c r="G905" s="1">
        <v>27.18</v>
      </c>
      <c r="H905" s="1">
        <v>2</v>
      </c>
      <c r="I905" s="1">
        <f t="shared" si="29"/>
        <v>2.718</v>
      </c>
      <c r="J905">
        <f t="shared" si="30"/>
        <v>57.078000000000003</v>
      </c>
    </row>
    <row r="906" spans="1:10" x14ac:dyDescent="0.3">
      <c r="A906" s="1" t="s">
        <v>525</v>
      </c>
      <c r="B906" s="1" t="s">
        <v>929</v>
      </c>
      <c r="C906" s="1" t="s">
        <v>25</v>
      </c>
      <c r="D906" s="1" t="s">
        <v>26</v>
      </c>
      <c r="E906" s="1" t="s">
        <v>18</v>
      </c>
      <c r="F906" s="1" t="s">
        <v>14</v>
      </c>
      <c r="G906" s="1">
        <v>92.78</v>
      </c>
      <c r="H906" s="1">
        <v>1</v>
      </c>
      <c r="I906" s="1">
        <f t="shared" si="29"/>
        <v>4.6390000000000002</v>
      </c>
      <c r="J906">
        <f t="shared" si="30"/>
        <v>97.418999999999997</v>
      </c>
    </row>
    <row r="907" spans="1:10" x14ac:dyDescent="0.3">
      <c r="A907" s="1" t="s">
        <v>525</v>
      </c>
      <c r="B907" s="1" t="s">
        <v>930</v>
      </c>
      <c r="C907" s="1" t="s">
        <v>16</v>
      </c>
      <c r="D907" s="1" t="s">
        <v>17</v>
      </c>
      <c r="E907" s="1" t="s">
        <v>13</v>
      </c>
      <c r="F907" s="1" t="s">
        <v>22</v>
      </c>
      <c r="G907" s="1">
        <v>86.69</v>
      </c>
      <c r="H907" s="1">
        <v>5</v>
      </c>
      <c r="I907" s="1">
        <f t="shared" si="29"/>
        <v>21.672499999999999</v>
      </c>
      <c r="J907">
        <f t="shared" si="30"/>
        <v>455.1225</v>
      </c>
    </row>
    <row r="908" spans="1:10" x14ac:dyDescent="0.3">
      <c r="A908" s="1" t="s">
        <v>525</v>
      </c>
      <c r="B908" s="1" t="s">
        <v>931</v>
      </c>
      <c r="C908" s="1" t="s">
        <v>25</v>
      </c>
      <c r="D908" s="1" t="s">
        <v>26</v>
      </c>
      <c r="E908" s="1" t="s">
        <v>18</v>
      </c>
      <c r="F908" s="1" t="s">
        <v>33</v>
      </c>
      <c r="G908" s="1">
        <v>23.01</v>
      </c>
      <c r="H908" s="1">
        <v>6</v>
      </c>
      <c r="I908" s="1">
        <f t="shared" si="29"/>
        <v>6.9030000000000005</v>
      </c>
      <c r="J908">
        <f t="shared" si="30"/>
        <v>144.96299999999999</v>
      </c>
    </row>
    <row r="909" spans="1:10" x14ac:dyDescent="0.3">
      <c r="A909" s="1" t="s">
        <v>525</v>
      </c>
      <c r="B909" s="1" t="s">
        <v>932</v>
      </c>
      <c r="C909" s="1" t="s">
        <v>16</v>
      </c>
      <c r="D909" s="1" t="s">
        <v>17</v>
      </c>
      <c r="E909" s="1" t="s">
        <v>13</v>
      </c>
      <c r="F909" s="1" t="s">
        <v>29</v>
      </c>
      <c r="G909" s="1">
        <v>67.39</v>
      </c>
      <c r="H909" s="1">
        <v>7</v>
      </c>
      <c r="I909" s="1">
        <f t="shared" si="29"/>
        <v>23.586500000000001</v>
      </c>
      <c r="J909">
        <f t="shared" si="30"/>
        <v>495.31650000000002</v>
      </c>
    </row>
    <row r="910" spans="1:10" x14ac:dyDescent="0.3">
      <c r="A910" s="1" t="s">
        <v>525</v>
      </c>
      <c r="B910" s="1" t="s">
        <v>933</v>
      </c>
      <c r="C910" s="1" t="s">
        <v>25</v>
      </c>
      <c r="D910" s="1" t="s">
        <v>26</v>
      </c>
      <c r="E910" s="1" t="s">
        <v>18</v>
      </c>
      <c r="F910" s="1" t="s">
        <v>14</v>
      </c>
      <c r="G910" s="1">
        <v>10.75</v>
      </c>
      <c r="H910" s="1">
        <v>8</v>
      </c>
      <c r="I910" s="1">
        <f t="shared" si="29"/>
        <v>4.3</v>
      </c>
      <c r="J910">
        <f t="shared" si="30"/>
        <v>90.3</v>
      </c>
    </row>
    <row r="911" spans="1:10" x14ac:dyDescent="0.3">
      <c r="A911" s="1" t="s">
        <v>525</v>
      </c>
      <c r="B911" s="1" t="s">
        <v>934</v>
      </c>
      <c r="C911" s="1" t="s">
        <v>11</v>
      </c>
      <c r="D911" s="1" t="s">
        <v>12</v>
      </c>
      <c r="E911" s="1" t="s">
        <v>18</v>
      </c>
      <c r="F911" s="1" t="s">
        <v>19</v>
      </c>
      <c r="G911" s="1">
        <v>95.15</v>
      </c>
      <c r="H911" s="1">
        <v>1</v>
      </c>
      <c r="I911" s="1">
        <f t="shared" si="29"/>
        <v>4.7575000000000003</v>
      </c>
      <c r="J911">
        <f t="shared" si="30"/>
        <v>99.907499999999999</v>
      </c>
    </row>
    <row r="912" spans="1:10" x14ac:dyDescent="0.3">
      <c r="A912" s="1" t="s">
        <v>525</v>
      </c>
      <c r="B912" s="1" t="s">
        <v>935</v>
      </c>
      <c r="C912" s="1" t="s">
        <v>11</v>
      </c>
      <c r="D912" s="1" t="s">
        <v>12</v>
      </c>
      <c r="E912" s="1" t="s">
        <v>18</v>
      </c>
      <c r="F912" s="1" t="s">
        <v>27</v>
      </c>
      <c r="G912" s="1">
        <v>33.880000000000003</v>
      </c>
      <c r="H912" s="1">
        <v>8</v>
      </c>
      <c r="I912" s="1">
        <f t="shared" si="29"/>
        <v>13.552000000000001</v>
      </c>
      <c r="J912">
        <f t="shared" si="30"/>
        <v>284.59200000000004</v>
      </c>
    </row>
    <row r="913" spans="1:10" x14ac:dyDescent="0.3">
      <c r="A913" s="1" t="s">
        <v>525</v>
      </c>
      <c r="B913" s="1" t="s">
        <v>936</v>
      </c>
      <c r="C913" s="1" t="s">
        <v>25</v>
      </c>
      <c r="D913" s="1" t="s">
        <v>26</v>
      </c>
      <c r="E913" s="1" t="s">
        <v>13</v>
      </c>
      <c r="F913" s="1" t="s">
        <v>14</v>
      </c>
      <c r="G913" s="1">
        <v>96.16</v>
      </c>
      <c r="H913" s="1">
        <v>4</v>
      </c>
      <c r="I913" s="1">
        <f t="shared" si="29"/>
        <v>19.231999999999999</v>
      </c>
      <c r="J913">
        <f t="shared" si="30"/>
        <v>403.87199999999996</v>
      </c>
    </row>
    <row r="914" spans="1:10" x14ac:dyDescent="0.3">
      <c r="A914" s="1" t="s">
        <v>525</v>
      </c>
      <c r="B914" s="1" t="s">
        <v>937</v>
      </c>
      <c r="C914" s="1" t="s">
        <v>25</v>
      </c>
      <c r="D914" s="1" t="s">
        <v>26</v>
      </c>
      <c r="E914" s="1" t="s">
        <v>13</v>
      </c>
      <c r="F914" s="1" t="s">
        <v>27</v>
      </c>
      <c r="G914" s="1">
        <v>47.16</v>
      </c>
      <c r="H914" s="1">
        <v>5</v>
      </c>
      <c r="I914" s="1">
        <f t="shared" si="29"/>
        <v>11.79</v>
      </c>
      <c r="J914">
        <f t="shared" si="30"/>
        <v>247.58999999999997</v>
      </c>
    </row>
    <row r="915" spans="1:10" x14ac:dyDescent="0.3">
      <c r="A915" s="1" t="s">
        <v>525</v>
      </c>
      <c r="B915" s="1" t="s">
        <v>938</v>
      </c>
      <c r="C915" s="1" t="s">
        <v>25</v>
      </c>
      <c r="D915" s="1" t="s">
        <v>26</v>
      </c>
      <c r="E915" s="1" t="s">
        <v>18</v>
      </c>
      <c r="F915" s="1" t="s">
        <v>19</v>
      </c>
      <c r="G915" s="1">
        <v>52.89</v>
      </c>
      <c r="H915" s="1">
        <v>4</v>
      </c>
      <c r="I915" s="1">
        <f t="shared" si="29"/>
        <v>10.578000000000001</v>
      </c>
      <c r="J915">
        <f t="shared" si="30"/>
        <v>222.13800000000001</v>
      </c>
    </row>
    <row r="916" spans="1:10" x14ac:dyDescent="0.3">
      <c r="A916" s="1" t="s">
        <v>525</v>
      </c>
      <c r="B916" s="1" t="s">
        <v>939</v>
      </c>
      <c r="C916" s="1" t="s">
        <v>16</v>
      </c>
      <c r="D916" s="1" t="s">
        <v>17</v>
      </c>
      <c r="E916" s="1" t="s">
        <v>13</v>
      </c>
      <c r="F916" s="1" t="s">
        <v>33</v>
      </c>
      <c r="G916" s="1">
        <v>10.17</v>
      </c>
      <c r="H916" s="1">
        <v>1</v>
      </c>
      <c r="I916" s="1">
        <f t="shared" si="29"/>
        <v>0.50850000000000006</v>
      </c>
      <c r="J916">
        <f t="shared" si="30"/>
        <v>10.6785</v>
      </c>
    </row>
    <row r="917" spans="1:10" x14ac:dyDescent="0.3">
      <c r="A917" s="1" t="s">
        <v>525</v>
      </c>
      <c r="B917" s="1" t="s">
        <v>940</v>
      </c>
      <c r="C917" s="1" t="s">
        <v>11</v>
      </c>
      <c r="D917" s="1" t="s">
        <v>12</v>
      </c>
      <c r="E917" s="1" t="s">
        <v>13</v>
      </c>
      <c r="F917" s="1" t="s">
        <v>29</v>
      </c>
      <c r="G917" s="1">
        <v>41.28</v>
      </c>
      <c r="H917" s="1">
        <v>3</v>
      </c>
      <c r="I917" s="1">
        <f t="shared" si="29"/>
        <v>6.1920000000000002</v>
      </c>
      <c r="J917">
        <f t="shared" si="30"/>
        <v>130.03200000000001</v>
      </c>
    </row>
    <row r="918" spans="1:10" x14ac:dyDescent="0.3">
      <c r="A918" s="1" t="s">
        <v>525</v>
      </c>
      <c r="B918" s="1" t="s">
        <v>941</v>
      </c>
      <c r="C918" s="1" t="s">
        <v>16</v>
      </c>
      <c r="D918" s="1" t="s">
        <v>17</v>
      </c>
      <c r="E918" s="1" t="s">
        <v>18</v>
      </c>
      <c r="F918" s="1" t="s">
        <v>19</v>
      </c>
      <c r="G918" s="1">
        <v>64.95</v>
      </c>
      <c r="H918" s="1">
        <v>10</v>
      </c>
      <c r="I918" s="1">
        <f t="shared" si="29"/>
        <v>32.475000000000001</v>
      </c>
      <c r="J918">
        <f t="shared" si="30"/>
        <v>681.97500000000002</v>
      </c>
    </row>
    <row r="919" spans="1:10" x14ac:dyDescent="0.3">
      <c r="A919" s="1" t="s">
        <v>525</v>
      </c>
      <c r="B919" s="1" t="s">
        <v>942</v>
      </c>
      <c r="C919" s="1" t="s">
        <v>11</v>
      </c>
      <c r="D919" s="1" t="s">
        <v>12</v>
      </c>
      <c r="E919" s="1" t="s">
        <v>18</v>
      </c>
      <c r="F919" s="1" t="s">
        <v>19</v>
      </c>
      <c r="G919" s="1">
        <v>10.56</v>
      </c>
      <c r="H919" s="1">
        <v>8</v>
      </c>
      <c r="I919" s="1">
        <f t="shared" si="29"/>
        <v>4.2240000000000002</v>
      </c>
      <c r="J919">
        <f t="shared" si="30"/>
        <v>88.704000000000008</v>
      </c>
    </row>
    <row r="920" spans="1:10" x14ac:dyDescent="0.3">
      <c r="A920" s="1" t="s">
        <v>525</v>
      </c>
      <c r="B920" s="1" t="s">
        <v>943</v>
      </c>
      <c r="C920" s="1" t="s">
        <v>25</v>
      </c>
      <c r="D920" s="1" t="s">
        <v>26</v>
      </c>
      <c r="E920" s="1" t="s">
        <v>18</v>
      </c>
      <c r="F920" s="1" t="s">
        <v>14</v>
      </c>
      <c r="G920" s="1">
        <v>62.57</v>
      </c>
      <c r="H920" s="1">
        <v>4</v>
      </c>
      <c r="I920" s="1">
        <f t="shared" si="29"/>
        <v>12.514000000000001</v>
      </c>
      <c r="J920">
        <f t="shared" si="30"/>
        <v>262.79399999999998</v>
      </c>
    </row>
    <row r="921" spans="1:10" x14ac:dyDescent="0.3">
      <c r="A921" s="1" t="s">
        <v>525</v>
      </c>
      <c r="B921" s="1" t="s">
        <v>944</v>
      </c>
      <c r="C921" s="1" t="s">
        <v>11</v>
      </c>
      <c r="D921" s="1" t="s">
        <v>12</v>
      </c>
      <c r="E921" s="1" t="s">
        <v>13</v>
      </c>
      <c r="F921" s="1" t="s">
        <v>14</v>
      </c>
      <c r="G921" s="1">
        <v>91.3</v>
      </c>
      <c r="H921" s="1">
        <v>1</v>
      </c>
      <c r="I921" s="1">
        <f t="shared" si="29"/>
        <v>4.5650000000000004</v>
      </c>
      <c r="J921">
        <f t="shared" si="30"/>
        <v>95.864999999999995</v>
      </c>
    </row>
    <row r="922" spans="1:10" x14ac:dyDescent="0.3">
      <c r="A922" s="1" t="s">
        <v>525</v>
      </c>
      <c r="B922" s="1" t="s">
        <v>945</v>
      </c>
      <c r="C922" s="1" t="s">
        <v>11</v>
      </c>
      <c r="D922" s="1" t="s">
        <v>12</v>
      </c>
      <c r="E922" s="1" t="s">
        <v>18</v>
      </c>
      <c r="F922" s="1" t="s">
        <v>29</v>
      </c>
      <c r="G922" s="1">
        <v>52.38</v>
      </c>
      <c r="H922" s="1">
        <v>1</v>
      </c>
      <c r="I922" s="1">
        <f t="shared" si="29"/>
        <v>2.6190000000000002</v>
      </c>
      <c r="J922">
        <f t="shared" si="30"/>
        <v>54.999000000000002</v>
      </c>
    </row>
    <row r="923" spans="1:10" x14ac:dyDescent="0.3">
      <c r="A923" s="1" t="s">
        <v>525</v>
      </c>
      <c r="B923" s="1" t="s">
        <v>946</v>
      </c>
      <c r="C923" s="1" t="s">
        <v>11</v>
      </c>
      <c r="D923" s="1" t="s">
        <v>12</v>
      </c>
      <c r="E923" s="1" t="s">
        <v>13</v>
      </c>
      <c r="F923" s="1" t="s">
        <v>29</v>
      </c>
      <c r="G923" s="1">
        <v>38.54</v>
      </c>
      <c r="H923" s="1">
        <v>5</v>
      </c>
      <c r="I923" s="1">
        <f t="shared" si="29"/>
        <v>9.6349999999999998</v>
      </c>
      <c r="J923">
        <f t="shared" si="30"/>
        <v>202.33499999999998</v>
      </c>
    </row>
    <row r="924" spans="1:10" x14ac:dyDescent="0.3">
      <c r="A924" s="1" t="s">
        <v>525</v>
      </c>
      <c r="B924" s="1" t="s">
        <v>947</v>
      </c>
      <c r="C924" s="1" t="s">
        <v>25</v>
      </c>
      <c r="D924" s="1" t="s">
        <v>26</v>
      </c>
      <c r="E924" s="1" t="s">
        <v>18</v>
      </c>
      <c r="F924" s="1" t="s">
        <v>33</v>
      </c>
      <c r="G924" s="1">
        <v>44.63</v>
      </c>
      <c r="H924" s="1">
        <v>6</v>
      </c>
      <c r="I924" s="1">
        <f t="shared" si="29"/>
        <v>13.389000000000003</v>
      </c>
      <c r="J924">
        <f t="shared" si="30"/>
        <v>281.16900000000004</v>
      </c>
    </row>
    <row r="925" spans="1:10" x14ac:dyDescent="0.3">
      <c r="A925" s="1" t="s">
        <v>525</v>
      </c>
      <c r="B925" s="1" t="s">
        <v>948</v>
      </c>
      <c r="C925" s="1" t="s">
        <v>16</v>
      </c>
      <c r="D925" s="1" t="s">
        <v>17</v>
      </c>
      <c r="E925" s="1" t="s">
        <v>18</v>
      </c>
      <c r="F925" s="1" t="s">
        <v>19</v>
      </c>
      <c r="G925" s="1">
        <v>55.87</v>
      </c>
      <c r="H925" s="1">
        <v>10</v>
      </c>
      <c r="I925" s="1">
        <f t="shared" si="29"/>
        <v>27.934999999999999</v>
      </c>
      <c r="J925">
        <f t="shared" si="30"/>
        <v>586.63499999999988</v>
      </c>
    </row>
    <row r="926" spans="1:10" x14ac:dyDescent="0.3">
      <c r="A926" s="1" t="s">
        <v>525</v>
      </c>
      <c r="B926" s="1" t="s">
        <v>949</v>
      </c>
      <c r="C926" s="1" t="s">
        <v>11</v>
      </c>
      <c r="D926" s="1" t="s">
        <v>12</v>
      </c>
      <c r="E926" s="1" t="s">
        <v>18</v>
      </c>
      <c r="F926" s="1" t="s">
        <v>29</v>
      </c>
      <c r="G926" s="1">
        <v>51.94</v>
      </c>
      <c r="H926" s="1">
        <v>3</v>
      </c>
      <c r="I926" s="1">
        <f t="shared" si="29"/>
        <v>7.7910000000000004</v>
      </c>
      <c r="J926">
        <f t="shared" si="30"/>
        <v>163.61099999999999</v>
      </c>
    </row>
    <row r="927" spans="1:10" x14ac:dyDescent="0.3">
      <c r="A927" s="1" t="s">
        <v>525</v>
      </c>
      <c r="B927" s="1" t="s">
        <v>950</v>
      </c>
      <c r="C927" s="1" t="s">
        <v>25</v>
      </c>
      <c r="D927" s="1" t="s">
        <v>26</v>
      </c>
      <c r="E927" s="1" t="s">
        <v>18</v>
      </c>
      <c r="F927" s="1" t="s">
        <v>19</v>
      </c>
      <c r="G927" s="1">
        <v>60.3</v>
      </c>
      <c r="H927" s="1">
        <v>1</v>
      </c>
      <c r="I927" s="1">
        <f t="shared" si="29"/>
        <v>3.0150000000000001</v>
      </c>
      <c r="J927">
        <f t="shared" si="30"/>
        <v>63.314999999999998</v>
      </c>
    </row>
    <row r="928" spans="1:10" x14ac:dyDescent="0.3">
      <c r="A928" s="1" t="s">
        <v>525</v>
      </c>
      <c r="B928" s="1" t="s">
        <v>951</v>
      </c>
      <c r="C928" s="1" t="s">
        <v>11</v>
      </c>
      <c r="D928" s="1" t="s">
        <v>12</v>
      </c>
      <c r="E928" s="1" t="s">
        <v>18</v>
      </c>
      <c r="F928" s="1" t="s">
        <v>29</v>
      </c>
      <c r="G928" s="1">
        <v>21.32</v>
      </c>
      <c r="H928" s="1">
        <v>1</v>
      </c>
      <c r="I928" s="1">
        <f t="shared" si="29"/>
        <v>1.0660000000000001</v>
      </c>
      <c r="J928">
        <f t="shared" si="30"/>
        <v>22.385999999999999</v>
      </c>
    </row>
    <row r="929" spans="1:10" x14ac:dyDescent="0.3">
      <c r="A929" s="1" t="s">
        <v>525</v>
      </c>
      <c r="B929" s="1" t="s">
        <v>952</v>
      </c>
      <c r="C929" s="1" t="s">
        <v>11</v>
      </c>
      <c r="D929" s="1" t="s">
        <v>12</v>
      </c>
      <c r="E929" s="1" t="s">
        <v>13</v>
      </c>
      <c r="F929" s="1" t="s">
        <v>19</v>
      </c>
      <c r="G929" s="1">
        <v>93.78</v>
      </c>
      <c r="H929" s="1">
        <v>3</v>
      </c>
      <c r="I929" s="1">
        <f t="shared" si="29"/>
        <v>14.067000000000002</v>
      </c>
      <c r="J929">
        <f t="shared" si="30"/>
        <v>295.40700000000004</v>
      </c>
    </row>
    <row r="930" spans="1:10" x14ac:dyDescent="0.3">
      <c r="A930" s="1" t="s">
        <v>525</v>
      </c>
      <c r="B930" s="1" t="s">
        <v>953</v>
      </c>
      <c r="C930" s="1" t="s">
        <v>11</v>
      </c>
      <c r="D930" s="1" t="s">
        <v>12</v>
      </c>
      <c r="E930" s="1" t="s">
        <v>13</v>
      </c>
      <c r="F930" s="1" t="s">
        <v>19</v>
      </c>
      <c r="G930" s="1">
        <v>73.260000000000005</v>
      </c>
      <c r="H930" s="1">
        <v>1</v>
      </c>
      <c r="I930" s="1">
        <f t="shared" si="29"/>
        <v>3.6630000000000003</v>
      </c>
      <c r="J930">
        <f t="shared" si="30"/>
        <v>76.923000000000002</v>
      </c>
    </row>
    <row r="931" spans="1:10" x14ac:dyDescent="0.3">
      <c r="A931" s="1" t="s">
        <v>525</v>
      </c>
      <c r="B931" s="1" t="s">
        <v>954</v>
      </c>
      <c r="C931" s="1" t="s">
        <v>11</v>
      </c>
      <c r="D931" s="1" t="s">
        <v>12</v>
      </c>
      <c r="E931" s="1" t="s">
        <v>18</v>
      </c>
      <c r="F931" s="1" t="s">
        <v>29</v>
      </c>
      <c r="G931" s="1">
        <v>74.099999999999994</v>
      </c>
      <c r="H931" s="1">
        <v>1</v>
      </c>
      <c r="I931" s="1">
        <f t="shared" si="29"/>
        <v>3.7050000000000001</v>
      </c>
      <c r="J931">
        <f t="shared" si="30"/>
        <v>77.804999999999993</v>
      </c>
    </row>
    <row r="932" spans="1:10" x14ac:dyDescent="0.3">
      <c r="A932" s="1" t="s">
        <v>525</v>
      </c>
      <c r="B932" s="1" t="s">
        <v>955</v>
      </c>
      <c r="C932" s="1" t="s">
        <v>16</v>
      </c>
      <c r="D932" s="1" t="s">
        <v>17</v>
      </c>
      <c r="E932" s="1" t="s">
        <v>18</v>
      </c>
      <c r="F932" s="1" t="s">
        <v>14</v>
      </c>
      <c r="G932" s="1">
        <v>53.19</v>
      </c>
      <c r="H932" s="1">
        <v>7</v>
      </c>
      <c r="I932" s="1">
        <f t="shared" si="29"/>
        <v>18.616499999999998</v>
      </c>
      <c r="J932">
        <f t="shared" si="30"/>
        <v>390.94649999999996</v>
      </c>
    </row>
    <row r="933" spans="1:10" x14ac:dyDescent="0.3">
      <c r="A933" s="1" t="s">
        <v>525</v>
      </c>
      <c r="B933" s="1" t="s">
        <v>956</v>
      </c>
      <c r="C933" s="1" t="s">
        <v>25</v>
      </c>
      <c r="D933" s="1" t="s">
        <v>26</v>
      </c>
      <c r="E933" s="1" t="s">
        <v>18</v>
      </c>
      <c r="F933" s="1" t="s">
        <v>27</v>
      </c>
      <c r="G933" s="1">
        <v>21.12</v>
      </c>
      <c r="H933" s="1">
        <v>8</v>
      </c>
      <c r="I933" s="1">
        <f t="shared" ref="I933:I996" si="31">(G933*H933)*5%</f>
        <v>8.4480000000000004</v>
      </c>
      <c r="J933">
        <f t="shared" si="30"/>
        <v>177.40800000000002</v>
      </c>
    </row>
    <row r="934" spans="1:10" x14ac:dyDescent="0.3">
      <c r="A934" s="1" t="s">
        <v>525</v>
      </c>
      <c r="B934" s="1" t="s">
        <v>957</v>
      </c>
      <c r="C934" s="1" t="s">
        <v>25</v>
      </c>
      <c r="D934" s="1" t="s">
        <v>26</v>
      </c>
      <c r="E934" s="1" t="s">
        <v>18</v>
      </c>
      <c r="F934" s="1" t="s">
        <v>14</v>
      </c>
      <c r="G934" s="1">
        <v>57.59</v>
      </c>
      <c r="H934" s="1">
        <v>6</v>
      </c>
      <c r="I934" s="1">
        <f t="shared" si="31"/>
        <v>17.277000000000001</v>
      </c>
      <c r="J934">
        <f t="shared" si="30"/>
        <v>362.81700000000001</v>
      </c>
    </row>
    <row r="935" spans="1:10" x14ac:dyDescent="0.3">
      <c r="A935" s="1" t="s">
        <v>525</v>
      </c>
      <c r="B935" s="1" t="s">
        <v>958</v>
      </c>
      <c r="C935" s="1" t="s">
        <v>11</v>
      </c>
      <c r="D935" s="1" t="s">
        <v>12</v>
      </c>
      <c r="E935" s="1" t="s">
        <v>13</v>
      </c>
      <c r="F935" s="1" t="s">
        <v>33</v>
      </c>
      <c r="G935" s="1">
        <v>12.76</v>
      </c>
      <c r="H935" s="1">
        <v>2</v>
      </c>
      <c r="I935" s="1">
        <f t="shared" si="31"/>
        <v>1.276</v>
      </c>
      <c r="J935">
        <f t="shared" si="30"/>
        <v>26.795999999999999</v>
      </c>
    </row>
    <row r="936" spans="1:10" x14ac:dyDescent="0.3">
      <c r="A936" s="1" t="s">
        <v>525</v>
      </c>
      <c r="B936" s="1" t="s">
        <v>959</v>
      </c>
      <c r="C936" s="1" t="s">
        <v>16</v>
      </c>
      <c r="D936" s="1" t="s">
        <v>17</v>
      </c>
      <c r="E936" s="1" t="s">
        <v>13</v>
      </c>
      <c r="F936" s="1" t="s">
        <v>14</v>
      </c>
      <c r="G936" s="1">
        <v>33.81</v>
      </c>
      <c r="H936" s="1">
        <v>3</v>
      </c>
      <c r="I936" s="1">
        <f t="shared" si="31"/>
        <v>5.0715000000000003</v>
      </c>
      <c r="J936">
        <f t="shared" si="30"/>
        <v>106.50150000000001</v>
      </c>
    </row>
    <row r="937" spans="1:10" x14ac:dyDescent="0.3">
      <c r="A937" s="1" t="s">
        <v>525</v>
      </c>
      <c r="B937" s="1" t="s">
        <v>960</v>
      </c>
      <c r="C937" s="1" t="s">
        <v>25</v>
      </c>
      <c r="D937" s="1" t="s">
        <v>26</v>
      </c>
      <c r="E937" s="1" t="s">
        <v>13</v>
      </c>
      <c r="F937" s="1" t="s">
        <v>33</v>
      </c>
      <c r="G937" s="1">
        <v>90.53</v>
      </c>
      <c r="H937" s="1">
        <v>8</v>
      </c>
      <c r="I937" s="1">
        <f t="shared" si="31"/>
        <v>36.212000000000003</v>
      </c>
      <c r="J937">
        <f t="shared" si="30"/>
        <v>760.452</v>
      </c>
    </row>
    <row r="938" spans="1:10" x14ac:dyDescent="0.3">
      <c r="A938" s="1" t="s">
        <v>525</v>
      </c>
      <c r="B938" s="1" t="s">
        <v>961</v>
      </c>
      <c r="C938" s="1" t="s">
        <v>16</v>
      </c>
      <c r="D938" s="1" t="s">
        <v>17</v>
      </c>
      <c r="E938" s="1" t="s">
        <v>13</v>
      </c>
      <c r="F938" s="1" t="s">
        <v>27</v>
      </c>
      <c r="G938" s="1">
        <v>24.31</v>
      </c>
      <c r="H938" s="1">
        <v>3</v>
      </c>
      <c r="I938" s="1">
        <f t="shared" si="31"/>
        <v>3.6464999999999996</v>
      </c>
      <c r="J938">
        <f t="shared" si="30"/>
        <v>76.576499999999996</v>
      </c>
    </row>
    <row r="939" spans="1:10" x14ac:dyDescent="0.3">
      <c r="A939" s="1" t="s">
        <v>525</v>
      </c>
      <c r="B939" s="1" t="s">
        <v>962</v>
      </c>
      <c r="C939" s="1" t="s">
        <v>11</v>
      </c>
      <c r="D939" s="1" t="s">
        <v>12</v>
      </c>
      <c r="E939" s="1" t="s">
        <v>18</v>
      </c>
      <c r="F939" s="1" t="s">
        <v>33</v>
      </c>
      <c r="G939" s="1">
        <v>64.59</v>
      </c>
      <c r="H939" s="1">
        <v>4</v>
      </c>
      <c r="I939" s="1">
        <f t="shared" si="31"/>
        <v>12.918000000000001</v>
      </c>
      <c r="J939">
        <f t="shared" si="30"/>
        <v>271.27800000000002</v>
      </c>
    </row>
    <row r="940" spans="1:10" x14ac:dyDescent="0.3">
      <c r="A940" s="1" t="s">
        <v>525</v>
      </c>
      <c r="B940" s="1" t="s">
        <v>963</v>
      </c>
      <c r="C940" s="1" t="s">
        <v>11</v>
      </c>
      <c r="D940" s="1" t="s">
        <v>12</v>
      </c>
      <c r="E940" s="1" t="s">
        <v>13</v>
      </c>
      <c r="F940" s="1" t="s">
        <v>27</v>
      </c>
      <c r="G940" s="1">
        <v>24.82</v>
      </c>
      <c r="H940" s="1">
        <v>7</v>
      </c>
      <c r="I940" s="1">
        <f t="shared" si="31"/>
        <v>8.6870000000000012</v>
      </c>
      <c r="J940">
        <f t="shared" si="30"/>
        <v>182.42700000000002</v>
      </c>
    </row>
    <row r="941" spans="1:10" x14ac:dyDescent="0.3">
      <c r="A941" s="1" t="s">
        <v>525</v>
      </c>
      <c r="B941" s="1" t="s">
        <v>964</v>
      </c>
      <c r="C941" s="1" t="s">
        <v>16</v>
      </c>
      <c r="D941" s="1" t="s">
        <v>17</v>
      </c>
      <c r="E941" s="1" t="s">
        <v>18</v>
      </c>
      <c r="F941" s="1" t="s">
        <v>29</v>
      </c>
      <c r="G941" s="1">
        <v>56.5</v>
      </c>
      <c r="H941" s="1">
        <v>1</v>
      </c>
      <c r="I941" s="1">
        <f t="shared" si="31"/>
        <v>2.8250000000000002</v>
      </c>
      <c r="J941">
        <f t="shared" si="30"/>
        <v>59.325000000000003</v>
      </c>
    </row>
    <row r="942" spans="1:10" x14ac:dyDescent="0.3">
      <c r="A942" s="1" t="s">
        <v>525</v>
      </c>
      <c r="B942" s="1" t="s">
        <v>965</v>
      </c>
      <c r="C942" s="1" t="s">
        <v>11</v>
      </c>
      <c r="D942" s="1" t="s">
        <v>12</v>
      </c>
      <c r="E942" s="1" t="s">
        <v>13</v>
      </c>
      <c r="F942" s="1" t="s">
        <v>33</v>
      </c>
      <c r="G942" s="1">
        <v>89.06</v>
      </c>
      <c r="H942" s="1">
        <v>6</v>
      </c>
      <c r="I942" s="1">
        <f t="shared" si="31"/>
        <v>26.718000000000004</v>
      </c>
      <c r="J942">
        <f t="shared" si="30"/>
        <v>561.07799999999997</v>
      </c>
    </row>
    <row r="943" spans="1:10" x14ac:dyDescent="0.3">
      <c r="A943" s="1" t="s">
        <v>525</v>
      </c>
      <c r="B943" s="1" t="s">
        <v>966</v>
      </c>
      <c r="C943" s="1" t="s">
        <v>11</v>
      </c>
      <c r="D943" s="1" t="s">
        <v>12</v>
      </c>
      <c r="E943" s="1" t="s">
        <v>13</v>
      </c>
      <c r="F943" s="1" t="s">
        <v>22</v>
      </c>
      <c r="G943" s="1">
        <v>23.29</v>
      </c>
      <c r="H943" s="1">
        <v>4</v>
      </c>
      <c r="I943" s="1">
        <f t="shared" si="31"/>
        <v>4.6580000000000004</v>
      </c>
      <c r="J943">
        <f t="shared" si="30"/>
        <v>97.817999999999998</v>
      </c>
    </row>
    <row r="944" spans="1:10" x14ac:dyDescent="0.3">
      <c r="A944" s="1" t="s">
        <v>525</v>
      </c>
      <c r="B944" s="1" t="s">
        <v>967</v>
      </c>
      <c r="C944" s="1" t="s">
        <v>16</v>
      </c>
      <c r="D944" s="1" t="s">
        <v>17</v>
      </c>
      <c r="E944" s="1" t="s">
        <v>18</v>
      </c>
      <c r="F944" s="1" t="s">
        <v>22</v>
      </c>
      <c r="G944" s="1">
        <v>65.260000000000005</v>
      </c>
      <c r="H944" s="1">
        <v>8</v>
      </c>
      <c r="I944" s="1">
        <f t="shared" si="31"/>
        <v>26.104000000000003</v>
      </c>
      <c r="J944">
        <f t="shared" si="30"/>
        <v>548.18400000000008</v>
      </c>
    </row>
    <row r="945" spans="1:10" x14ac:dyDescent="0.3">
      <c r="A945" s="1" t="s">
        <v>525</v>
      </c>
      <c r="B945" s="1" t="s">
        <v>968</v>
      </c>
      <c r="C945" s="1" t="s">
        <v>16</v>
      </c>
      <c r="D945" s="1" t="s">
        <v>17</v>
      </c>
      <c r="E945" s="1" t="s">
        <v>13</v>
      </c>
      <c r="F945" s="1" t="s">
        <v>29</v>
      </c>
      <c r="G945" s="1">
        <v>52.35</v>
      </c>
      <c r="H945" s="1">
        <v>1</v>
      </c>
      <c r="I945" s="1">
        <f t="shared" si="31"/>
        <v>2.6175000000000002</v>
      </c>
      <c r="J945">
        <f t="shared" si="30"/>
        <v>54.967500000000001</v>
      </c>
    </row>
    <row r="946" spans="1:10" x14ac:dyDescent="0.3">
      <c r="A946" s="1" t="s">
        <v>525</v>
      </c>
      <c r="B946" s="1" t="s">
        <v>969</v>
      </c>
      <c r="C946" s="1" t="s">
        <v>25</v>
      </c>
      <c r="D946" s="1" t="s">
        <v>26</v>
      </c>
      <c r="E946" s="1" t="s">
        <v>13</v>
      </c>
      <c r="F946" s="1" t="s">
        <v>19</v>
      </c>
      <c r="G946" s="1">
        <v>39.75</v>
      </c>
      <c r="H946" s="1">
        <v>1</v>
      </c>
      <c r="I946" s="1">
        <f t="shared" si="31"/>
        <v>1.9875</v>
      </c>
      <c r="J946">
        <f t="shared" si="30"/>
        <v>41.737499999999997</v>
      </c>
    </row>
    <row r="947" spans="1:10" x14ac:dyDescent="0.3">
      <c r="A947" s="1" t="s">
        <v>525</v>
      </c>
      <c r="B947" s="1" t="s">
        <v>970</v>
      </c>
      <c r="C947" s="1" t="s">
        <v>25</v>
      </c>
      <c r="D947" s="1" t="s">
        <v>26</v>
      </c>
      <c r="E947" s="1" t="s">
        <v>13</v>
      </c>
      <c r="F947" s="1" t="s">
        <v>33</v>
      </c>
      <c r="G947" s="1">
        <v>31.99</v>
      </c>
      <c r="H947" s="1">
        <v>10</v>
      </c>
      <c r="I947" s="1">
        <f t="shared" si="31"/>
        <v>15.994999999999999</v>
      </c>
      <c r="J947">
        <f t="shared" si="30"/>
        <v>335.89499999999998</v>
      </c>
    </row>
    <row r="948" spans="1:10" x14ac:dyDescent="0.3">
      <c r="A948" s="1" t="s">
        <v>525</v>
      </c>
      <c r="B948" s="1" t="s">
        <v>971</v>
      </c>
      <c r="C948" s="1" t="s">
        <v>11</v>
      </c>
      <c r="D948" s="1" t="s">
        <v>12</v>
      </c>
      <c r="E948" s="1" t="s">
        <v>18</v>
      </c>
      <c r="F948" s="1" t="s">
        <v>33</v>
      </c>
      <c r="G948" s="1">
        <v>45.58</v>
      </c>
      <c r="H948" s="1">
        <v>7</v>
      </c>
      <c r="I948" s="1">
        <f t="shared" si="31"/>
        <v>15.953000000000001</v>
      </c>
      <c r="J948">
        <f t="shared" si="30"/>
        <v>335.01299999999998</v>
      </c>
    </row>
    <row r="949" spans="1:10" x14ac:dyDescent="0.3">
      <c r="A949" s="1" t="s">
        <v>525</v>
      </c>
      <c r="B949" s="1" t="s">
        <v>972</v>
      </c>
      <c r="C949" s="1" t="s">
        <v>11</v>
      </c>
      <c r="D949" s="1" t="s">
        <v>12</v>
      </c>
      <c r="E949" s="1" t="s">
        <v>13</v>
      </c>
      <c r="F949" s="1" t="s">
        <v>27</v>
      </c>
      <c r="G949" s="1">
        <v>87.9</v>
      </c>
      <c r="H949" s="1">
        <v>1</v>
      </c>
      <c r="I949" s="1">
        <f t="shared" si="31"/>
        <v>4.3950000000000005</v>
      </c>
      <c r="J949">
        <f t="shared" si="30"/>
        <v>92.295000000000002</v>
      </c>
    </row>
    <row r="950" spans="1:10" x14ac:dyDescent="0.3">
      <c r="A950" s="1" t="s">
        <v>525</v>
      </c>
      <c r="B950" s="1" t="s">
        <v>973</v>
      </c>
      <c r="C950" s="1" t="s">
        <v>11</v>
      </c>
      <c r="D950" s="1" t="s">
        <v>12</v>
      </c>
      <c r="E950" s="1" t="s">
        <v>13</v>
      </c>
      <c r="F950" s="1" t="s">
        <v>33</v>
      </c>
      <c r="G950" s="1">
        <v>76.92</v>
      </c>
      <c r="H950" s="1">
        <v>10</v>
      </c>
      <c r="I950" s="1">
        <f t="shared" si="31"/>
        <v>38.460000000000008</v>
      </c>
      <c r="J950">
        <f t="shared" si="30"/>
        <v>807.66000000000008</v>
      </c>
    </row>
    <row r="951" spans="1:10" x14ac:dyDescent="0.3">
      <c r="A951" s="1" t="s">
        <v>525</v>
      </c>
      <c r="B951" s="1" t="s">
        <v>974</v>
      </c>
      <c r="C951" s="1" t="s">
        <v>25</v>
      </c>
      <c r="D951" s="1" t="s">
        <v>26</v>
      </c>
      <c r="E951" s="1" t="s">
        <v>18</v>
      </c>
      <c r="F951" s="1" t="s">
        <v>19</v>
      </c>
      <c r="G951" s="1">
        <v>28.38</v>
      </c>
      <c r="H951" s="1">
        <v>5</v>
      </c>
      <c r="I951" s="1">
        <f t="shared" si="31"/>
        <v>7.0950000000000006</v>
      </c>
      <c r="J951">
        <f t="shared" si="30"/>
        <v>148.995</v>
      </c>
    </row>
    <row r="952" spans="1:10" x14ac:dyDescent="0.3">
      <c r="A952" s="1" t="s">
        <v>525</v>
      </c>
      <c r="B952" s="1" t="s">
        <v>975</v>
      </c>
      <c r="C952" s="1" t="s">
        <v>25</v>
      </c>
      <c r="D952" s="1" t="s">
        <v>26</v>
      </c>
      <c r="E952" s="1" t="s">
        <v>13</v>
      </c>
      <c r="F952" s="1" t="s">
        <v>19</v>
      </c>
      <c r="G952" s="1">
        <v>50.45</v>
      </c>
      <c r="H952" s="1">
        <v>6</v>
      </c>
      <c r="I952" s="1">
        <f t="shared" si="31"/>
        <v>15.135000000000003</v>
      </c>
      <c r="J952">
        <f t="shared" si="30"/>
        <v>317.83500000000004</v>
      </c>
    </row>
    <row r="953" spans="1:10" x14ac:dyDescent="0.3">
      <c r="A953" s="1" t="s">
        <v>525</v>
      </c>
      <c r="B953" s="1" t="s">
        <v>976</v>
      </c>
      <c r="C953" s="1" t="s">
        <v>25</v>
      </c>
      <c r="D953" s="1" t="s">
        <v>26</v>
      </c>
      <c r="E953" s="1" t="s">
        <v>18</v>
      </c>
      <c r="F953" s="1" t="s">
        <v>14</v>
      </c>
      <c r="G953" s="1">
        <v>99.16</v>
      </c>
      <c r="H953" s="1">
        <v>8</v>
      </c>
      <c r="I953" s="1">
        <f t="shared" si="31"/>
        <v>39.664000000000001</v>
      </c>
      <c r="J953">
        <f t="shared" si="30"/>
        <v>832.94399999999996</v>
      </c>
    </row>
    <row r="954" spans="1:10" x14ac:dyDescent="0.3">
      <c r="A954" s="1" t="s">
        <v>525</v>
      </c>
      <c r="B954" s="1" t="s">
        <v>977</v>
      </c>
      <c r="C954" s="1" t="s">
        <v>16</v>
      </c>
      <c r="D954" s="1" t="s">
        <v>17</v>
      </c>
      <c r="E954" s="1" t="s">
        <v>18</v>
      </c>
      <c r="F954" s="1" t="s">
        <v>29</v>
      </c>
      <c r="G954" s="1">
        <v>60.74</v>
      </c>
      <c r="H954" s="1">
        <v>7</v>
      </c>
      <c r="I954" s="1">
        <f t="shared" si="31"/>
        <v>21.259</v>
      </c>
      <c r="J954">
        <f t="shared" si="30"/>
        <v>446.43900000000002</v>
      </c>
    </row>
    <row r="955" spans="1:10" x14ac:dyDescent="0.3">
      <c r="A955" s="1" t="s">
        <v>525</v>
      </c>
      <c r="B955" s="1" t="s">
        <v>978</v>
      </c>
      <c r="C955" s="1" t="s">
        <v>16</v>
      </c>
      <c r="D955" s="1" t="s">
        <v>17</v>
      </c>
      <c r="E955" s="1" t="s">
        <v>13</v>
      </c>
      <c r="F955" s="1" t="s">
        <v>14</v>
      </c>
      <c r="G955" s="1">
        <v>85.6</v>
      </c>
      <c r="H955" s="1">
        <v>7</v>
      </c>
      <c r="I955" s="1">
        <f t="shared" si="31"/>
        <v>29.959999999999997</v>
      </c>
      <c r="J955">
        <f t="shared" si="30"/>
        <v>629.16</v>
      </c>
    </row>
    <row r="956" spans="1:10" x14ac:dyDescent="0.3">
      <c r="A956" s="1" t="s">
        <v>525</v>
      </c>
      <c r="B956" s="1" t="s">
        <v>979</v>
      </c>
      <c r="C956" s="1" t="s">
        <v>11</v>
      </c>
      <c r="D956" s="1" t="s">
        <v>12</v>
      </c>
      <c r="E956" s="1" t="s">
        <v>13</v>
      </c>
      <c r="F956" s="1" t="s">
        <v>27</v>
      </c>
      <c r="G956" s="1">
        <v>35.04</v>
      </c>
      <c r="H956" s="1">
        <v>9</v>
      </c>
      <c r="I956" s="1">
        <f t="shared" si="31"/>
        <v>15.768000000000001</v>
      </c>
      <c r="J956">
        <f t="shared" si="30"/>
        <v>331.12800000000004</v>
      </c>
    </row>
    <row r="957" spans="1:10" x14ac:dyDescent="0.3">
      <c r="A957" s="1" t="s">
        <v>525</v>
      </c>
      <c r="B957" s="1" t="s">
        <v>980</v>
      </c>
      <c r="C957" s="1" t="s">
        <v>25</v>
      </c>
      <c r="D957" s="1" t="s">
        <v>26</v>
      </c>
      <c r="E957" s="1" t="s">
        <v>18</v>
      </c>
      <c r="F957" s="1" t="s">
        <v>22</v>
      </c>
      <c r="G957" s="1">
        <v>45.97</v>
      </c>
      <c r="H957" s="1">
        <v>4</v>
      </c>
      <c r="I957" s="1">
        <f t="shared" si="31"/>
        <v>9.1940000000000008</v>
      </c>
      <c r="J957">
        <f t="shared" si="30"/>
        <v>193.07399999999998</v>
      </c>
    </row>
    <row r="958" spans="1:10" x14ac:dyDescent="0.3">
      <c r="A958" s="1" t="s">
        <v>525</v>
      </c>
      <c r="B958" s="1" t="s">
        <v>981</v>
      </c>
      <c r="C958" s="1" t="s">
        <v>11</v>
      </c>
      <c r="D958" s="1" t="s">
        <v>12</v>
      </c>
      <c r="E958" s="1" t="s">
        <v>18</v>
      </c>
      <c r="F958" s="1" t="s">
        <v>27</v>
      </c>
      <c r="G958" s="1">
        <v>11.53</v>
      </c>
      <c r="H958" s="1">
        <v>7</v>
      </c>
      <c r="I958" s="1">
        <f t="shared" si="31"/>
        <v>4.0354999999999999</v>
      </c>
      <c r="J958">
        <f t="shared" si="30"/>
        <v>84.745499999999993</v>
      </c>
    </row>
    <row r="959" spans="1:10" x14ac:dyDescent="0.3">
      <c r="A959" s="1" t="s">
        <v>525</v>
      </c>
      <c r="B959" s="1" t="s">
        <v>982</v>
      </c>
      <c r="C959" s="1" t="s">
        <v>16</v>
      </c>
      <c r="D959" s="1" t="s">
        <v>17</v>
      </c>
      <c r="E959" s="1" t="s">
        <v>18</v>
      </c>
      <c r="F959" s="1" t="s">
        <v>14</v>
      </c>
      <c r="G959" s="1">
        <v>84.61</v>
      </c>
      <c r="H959" s="1">
        <v>10</v>
      </c>
      <c r="I959" s="1">
        <f t="shared" si="31"/>
        <v>42.305000000000007</v>
      </c>
      <c r="J959">
        <f t="shared" si="30"/>
        <v>888.40499999999997</v>
      </c>
    </row>
    <row r="960" spans="1:10" x14ac:dyDescent="0.3">
      <c r="A960" s="1" t="s">
        <v>525</v>
      </c>
      <c r="B960" s="1" t="s">
        <v>983</v>
      </c>
      <c r="C960" s="1" t="s">
        <v>11</v>
      </c>
      <c r="D960" s="1" t="s">
        <v>12</v>
      </c>
      <c r="E960" s="1" t="s">
        <v>13</v>
      </c>
      <c r="F960" s="1" t="s">
        <v>29</v>
      </c>
      <c r="G960" s="1">
        <v>51.34</v>
      </c>
      <c r="H960" s="1">
        <v>8</v>
      </c>
      <c r="I960" s="1">
        <f t="shared" si="31"/>
        <v>20.536000000000001</v>
      </c>
      <c r="J960">
        <f t="shared" si="30"/>
        <v>431.25600000000003</v>
      </c>
    </row>
    <row r="961" spans="1:10" x14ac:dyDescent="0.3">
      <c r="A961" s="1" t="s">
        <v>525</v>
      </c>
      <c r="B961" s="1" t="s">
        <v>984</v>
      </c>
      <c r="C961" s="1" t="s">
        <v>16</v>
      </c>
      <c r="D961" s="1" t="s">
        <v>17</v>
      </c>
      <c r="E961" s="1" t="s">
        <v>13</v>
      </c>
      <c r="F961" s="1" t="s">
        <v>33</v>
      </c>
      <c r="G961" s="1">
        <v>42.85</v>
      </c>
      <c r="H961" s="1">
        <v>1</v>
      </c>
      <c r="I961" s="1">
        <f t="shared" si="31"/>
        <v>2.1425000000000001</v>
      </c>
      <c r="J961">
        <f t="shared" si="30"/>
        <v>44.9925</v>
      </c>
    </row>
    <row r="962" spans="1:10" x14ac:dyDescent="0.3">
      <c r="A962" s="1" t="s">
        <v>525</v>
      </c>
      <c r="B962" s="1" t="s">
        <v>985</v>
      </c>
      <c r="C962" s="1" t="s">
        <v>25</v>
      </c>
      <c r="D962" s="1" t="s">
        <v>26</v>
      </c>
      <c r="E962" s="1" t="s">
        <v>18</v>
      </c>
      <c r="F962" s="1" t="s">
        <v>22</v>
      </c>
      <c r="G962" s="1">
        <v>68.97</v>
      </c>
      <c r="H962" s="1">
        <v>3</v>
      </c>
      <c r="I962" s="1">
        <f t="shared" si="31"/>
        <v>10.345500000000001</v>
      </c>
      <c r="J962">
        <f t="shared" si="30"/>
        <v>217.25549999999998</v>
      </c>
    </row>
    <row r="963" spans="1:10" x14ac:dyDescent="0.3">
      <c r="A963" s="1" t="s">
        <v>525</v>
      </c>
      <c r="B963" s="1" t="s">
        <v>986</v>
      </c>
      <c r="C963" s="1" t="s">
        <v>25</v>
      </c>
      <c r="D963" s="1" t="s">
        <v>26</v>
      </c>
      <c r="E963" s="1" t="s">
        <v>13</v>
      </c>
      <c r="F963" s="1" t="s">
        <v>33</v>
      </c>
      <c r="G963" s="1">
        <v>88.31</v>
      </c>
      <c r="H963" s="1">
        <v>1</v>
      </c>
      <c r="I963" s="1">
        <f t="shared" si="31"/>
        <v>4.4155000000000006</v>
      </c>
      <c r="J963">
        <f t="shared" ref="J963:J988" si="32">(G963*H963)+I963</f>
        <v>92.725499999999997</v>
      </c>
    </row>
    <row r="964" spans="1:10" x14ac:dyDescent="0.3">
      <c r="A964" s="1" t="s">
        <v>525</v>
      </c>
      <c r="B964" s="1" t="s">
        <v>987</v>
      </c>
      <c r="C964" s="1" t="s">
        <v>25</v>
      </c>
      <c r="D964" s="1" t="s">
        <v>26</v>
      </c>
      <c r="E964" s="1" t="s">
        <v>18</v>
      </c>
      <c r="F964" s="1" t="s">
        <v>33</v>
      </c>
      <c r="G964" s="1">
        <v>25.31</v>
      </c>
      <c r="H964" s="1">
        <v>2</v>
      </c>
      <c r="I964" s="1">
        <f t="shared" si="31"/>
        <v>2.5310000000000001</v>
      </c>
      <c r="J964">
        <f t="shared" si="32"/>
        <v>53.150999999999996</v>
      </c>
    </row>
    <row r="965" spans="1:10" x14ac:dyDescent="0.3">
      <c r="A965" s="1" t="s">
        <v>525</v>
      </c>
      <c r="B965" s="1" t="s">
        <v>988</v>
      </c>
      <c r="C965" s="1" t="s">
        <v>25</v>
      </c>
      <c r="D965" s="1" t="s">
        <v>26</v>
      </c>
      <c r="E965" s="1" t="s">
        <v>18</v>
      </c>
      <c r="F965" s="1" t="s">
        <v>22</v>
      </c>
      <c r="G965" s="1">
        <v>99.92</v>
      </c>
      <c r="H965" s="1">
        <v>6</v>
      </c>
      <c r="I965" s="1">
        <f t="shared" si="31"/>
        <v>29.975999999999999</v>
      </c>
      <c r="J965">
        <f t="shared" si="32"/>
        <v>629.49599999999998</v>
      </c>
    </row>
    <row r="966" spans="1:10" x14ac:dyDescent="0.3">
      <c r="A966" s="1" t="s">
        <v>525</v>
      </c>
      <c r="B966" s="1" t="s">
        <v>989</v>
      </c>
      <c r="C966" s="1" t="s">
        <v>16</v>
      </c>
      <c r="D966" s="1" t="s">
        <v>17</v>
      </c>
      <c r="E966" s="1" t="s">
        <v>18</v>
      </c>
      <c r="F966" s="1" t="s">
        <v>14</v>
      </c>
      <c r="G966" s="1">
        <v>64.08</v>
      </c>
      <c r="H966" s="1">
        <v>7</v>
      </c>
      <c r="I966" s="1">
        <f t="shared" si="31"/>
        <v>22.428000000000001</v>
      </c>
      <c r="J966">
        <f t="shared" si="32"/>
        <v>470.988</v>
      </c>
    </row>
    <row r="967" spans="1:10" x14ac:dyDescent="0.3">
      <c r="A967" s="1" t="s">
        <v>525</v>
      </c>
      <c r="B967" s="1" t="s">
        <v>990</v>
      </c>
      <c r="C967" s="1" t="s">
        <v>16</v>
      </c>
      <c r="D967" s="1" t="s">
        <v>17</v>
      </c>
      <c r="E967" s="1" t="s">
        <v>13</v>
      </c>
      <c r="F967" s="1" t="s">
        <v>22</v>
      </c>
      <c r="G967" s="1">
        <v>85.72</v>
      </c>
      <c r="H967" s="1">
        <v>3</v>
      </c>
      <c r="I967" s="1">
        <f t="shared" si="31"/>
        <v>12.857999999999999</v>
      </c>
      <c r="J967">
        <f t="shared" si="32"/>
        <v>270.01799999999997</v>
      </c>
    </row>
    <row r="968" spans="1:10" x14ac:dyDescent="0.3">
      <c r="A968" s="1" t="s">
        <v>525</v>
      </c>
      <c r="B968" s="1" t="s">
        <v>991</v>
      </c>
      <c r="C968" s="1" t="s">
        <v>11</v>
      </c>
      <c r="D968" s="1" t="s">
        <v>12</v>
      </c>
      <c r="E968" s="1" t="s">
        <v>18</v>
      </c>
      <c r="F968" s="1" t="s">
        <v>27</v>
      </c>
      <c r="G968" s="1">
        <v>66.52</v>
      </c>
      <c r="H968" s="1">
        <v>4</v>
      </c>
      <c r="I968" s="1">
        <f t="shared" si="31"/>
        <v>13.304</v>
      </c>
      <c r="J968">
        <f t="shared" si="32"/>
        <v>279.38399999999996</v>
      </c>
    </row>
    <row r="969" spans="1:10" x14ac:dyDescent="0.3">
      <c r="A969" s="1" t="s">
        <v>525</v>
      </c>
      <c r="B969" s="1" t="s">
        <v>992</v>
      </c>
      <c r="C969" s="1" t="s">
        <v>16</v>
      </c>
      <c r="D969" s="1" t="s">
        <v>17</v>
      </c>
      <c r="E969" s="1" t="s">
        <v>13</v>
      </c>
      <c r="F969" s="1" t="s">
        <v>29</v>
      </c>
      <c r="G969" s="1">
        <v>99.82</v>
      </c>
      <c r="H969" s="1">
        <v>9</v>
      </c>
      <c r="I969" s="1">
        <f t="shared" si="31"/>
        <v>44.918999999999997</v>
      </c>
      <c r="J969">
        <f t="shared" si="32"/>
        <v>943.29899999999986</v>
      </c>
    </row>
    <row r="970" spans="1:10" x14ac:dyDescent="0.3">
      <c r="A970" s="1" t="s">
        <v>525</v>
      </c>
      <c r="B970" s="1" t="s">
        <v>993</v>
      </c>
      <c r="C970" s="1" t="s">
        <v>11</v>
      </c>
      <c r="D970" s="1" t="s">
        <v>12</v>
      </c>
      <c r="E970" s="1" t="s">
        <v>18</v>
      </c>
      <c r="F970" s="1" t="s">
        <v>14</v>
      </c>
      <c r="G970" s="1">
        <v>50.79</v>
      </c>
      <c r="H970" s="1">
        <v>5</v>
      </c>
      <c r="I970" s="1">
        <f t="shared" si="31"/>
        <v>12.6975</v>
      </c>
      <c r="J970">
        <f t="shared" si="32"/>
        <v>266.64749999999998</v>
      </c>
    </row>
    <row r="971" spans="1:10" x14ac:dyDescent="0.3">
      <c r="A971" s="1" t="s">
        <v>525</v>
      </c>
      <c r="B971" s="1" t="s">
        <v>994</v>
      </c>
      <c r="C971" s="1" t="s">
        <v>11</v>
      </c>
      <c r="D971" s="1" t="s">
        <v>12</v>
      </c>
      <c r="E971" s="1" t="s">
        <v>13</v>
      </c>
      <c r="F971" s="1" t="s">
        <v>14</v>
      </c>
      <c r="G971" s="1">
        <v>10.08</v>
      </c>
      <c r="H971" s="1">
        <v>7</v>
      </c>
      <c r="I971" s="1">
        <f t="shared" si="31"/>
        <v>3.5280000000000005</v>
      </c>
      <c r="J971">
        <f t="shared" si="32"/>
        <v>74.088000000000008</v>
      </c>
    </row>
    <row r="972" spans="1:10" x14ac:dyDescent="0.3">
      <c r="A972" s="1" t="s">
        <v>525</v>
      </c>
      <c r="B972" s="1" t="s">
        <v>995</v>
      </c>
      <c r="C972" s="1" t="s">
        <v>16</v>
      </c>
      <c r="D972" s="1" t="s">
        <v>17</v>
      </c>
      <c r="E972" s="1" t="s">
        <v>13</v>
      </c>
      <c r="F972" s="1" t="s">
        <v>19</v>
      </c>
      <c r="G972" s="1">
        <v>84.25</v>
      </c>
      <c r="H972" s="1">
        <v>2</v>
      </c>
      <c r="I972" s="1">
        <f t="shared" si="31"/>
        <v>8.4250000000000007</v>
      </c>
      <c r="J972">
        <f t="shared" si="32"/>
        <v>176.92500000000001</v>
      </c>
    </row>
    <row r="973" spans="1:10" x14ac:dyDescent="0.3">
      <c r="A973" s="1" t="s">
        <v>525</v>
      </c>
      <c r="B973" s="1" t="s">
        <v>996</v>
      </c>
      <c r="C973" s="1" t="s">
        <v>25</v>
      </c>
      <c r="D973" s="1" t="s">
        <v>26</v>
      </c>
      <c r="E973" s="1" t="s">
        <v>13</v>
      </c>
      <c r="F973" s="1" t="s">
        <v>29</v>
      </c>
      <c r="G973" s="1">
        <v>53.78</v>
      </c>
      <c r="H973" s="1">
        <v>1</v>
      </c>
      <c r="I973" s="1">
        <f t="shared" si="31"/>
        <v>2.6890000000000001</v>
      </c>
      <c r="J973">
        <f t="shared" si="32"/>
        <v>56.469000000000001</v>
      </c>
    </row>
    <row r="974" spans="1:10" x14ac:dyDescent="0.3">
      <c r="A974" s="1" t="s">
        <v>525</v>
      </c>
      <c r="B974" s="1" t="s">
        <v>997</v>
      </c>
      <c r="C974" s="1" t="s">
        <v>16</v>
      </c>
      <c r="D974" s="1" t="s">
        <v>17</v>
      </c>
      <c r="E974" s="1" t="s">
        <v>13</v>
      </c>
      <c r="F974" s="1" t="s">
        <v>22</v>
      </c>
      <c r="G974" s="1">
        <v>35.81</v>
      </c>
      <c r="H974" s="1">
        <v>5</v>
      </c>
      <c r="I974" s="1">
        <f t="shared" si="31"/>
        <v>8.9525000000000006</v>
      </c>
      <c r="J974">
        <f t="shared" si="32"/>
        <v>188.0025</v>
      </c>
    </row>
    <row r="975" spans="1:10" x14ac:dyDescent="0.3">
      <c r="A975" s="1" t="s">
        <v>525</v>
      </c>
      <c r="B975" s="1" t="s">
        <v>998</v>
      </c>
      <c r="C975" s="1" t="s">
        <v>25</v>
      </c>
      <c r="D975" s="1" t="s">
        <v>26</v>
      </c>
      <c r="E975" s="1" t="s">
        <v>13</v>
      </c>
      <c r="F975" s="1" t="s">
        <v>14</v>
      </c>
      <c r="G975" s="1">
        <v>39.909999999999997</v>
      </c>
      <c r="H975" s="1">
        <v>3</v>
      </c>
      <c r="I975" s="1">
        <f t="shared" si="31"/>
        <v>5.9864999999999995</v>
      </c>
      <c r="J975">
        <f t="shared" si="32"/>
        <v>125.7165</v>
      </c>
    </row>
    <row r="976" spans="1:10" x14ac:dyDescent="0.3">
      <c r="A976" s="1" t="s">
        <v>525</v>
      </c>
      <c r="B976" s="1" t="s">
        <v>999</v>
      </c>
      <c r="C976" s="1" t="s">
        <v>25</v>
      </c>
      <c r="D976" s="1" t="s">
        <v>26</v>
      </c>
      <c r="E976" s="1" t="s">
        <v>13</v>
      </c>
      <c r="F976" s="1" t="s">
        <v>22</v>
      </c>
      <c r="G976" s="1">
        <v>65.91</v>
      </c>
      <c r="H976" s="1">
        <v>6</v>
      </c>
      <c r="I976" s="1">
        <f t="shared" si="31"/>
        <v>19.773</v>
      </c>
      <c r="J976">
        <f t="shared" si="32"/>
        <v>415.233</v>
      </c>
    </row>
    <row r="977" spans="1:10" x14ac:dyDescent="0.3">
      <c r="A977" s="1" t="s">
        <v>525</v>
      </c>
      <c r="B977" s="1" t="s">
        <v>1000</v>
      </c>
      <c r="C977" s="1" t="s">
        <v>16</v>
      </c>
      <c r="D977" s="1" t="s">
        <v>17</v>
      </c>
      <c r="E977" s="1" t="s">
        <v>13</v>
      </c>
      <c r="F977" s="1" t="s">
        <v>27</v>
      </c>
      <c r="G977" s="1">
        <v>50.49</v>
      </c>
      <c r="H977" s="1">
        <v>9</v>
      </c>
      <c r="I977" s="1">
        <f t="shared" si="31"/>
        <v>22.720500000000001</v>
      </c>
      <c r="J977">
        <f t="shared" si="32"/>
        <v>477.13050000000004</v>
      </c>
    </row>
    <row r="978" spans="1:10" x14ac:dyDescent="0.3">
      <c r="A978" s="1" t="s">
        <v>525</v>
      </c>
      <c r="B978" s="1" t="s">
        <v>1001</v>
      </c>
      <c r="C978" s="1" t="s">
        <v>25</v>
      </c>
      <c r="D978" s="1" t="s">
        <v>26</v>
      </c>
      <c r="E978" s="1" t="s">
        <v>18</v>
      </c>
      <c r="F978" s="1" t="s">
        <v>19</v>
      </c>
      <c r="G978" s="1">
        <v>46.02</v>
      </c>
      <c r="H978" s="1">
        <v>6</v>
      </c>
      <c r="I978" s="1">
        <f t="shared" si="31"/>
        <v>13.806000000000001</v>
      </c>
      <c r="J978">
        <f t="shared" si="32"/>
        <v>289.92599999999999</v>
      </c>
    </row>
    <row r="979" spans="1:10" x14ac:dyDescent="0.3">
      <c r="A979" s="1" t="s">
        <v>525</v>
      </c>
      <c r="B979" s="1" t="s">
        <v>1002</v>
      </c>
      <c r="C979" s="1" t="s">
        <v>16</v>
      </c>
      <c r="D979" s="1" t="s">
        <v>17</v>
      </c>
      <c r="E979" s="1" t="s">
        <v>13</v>
      </c>
      <c r="F979" s="1" t="s">
        <v>29</v>
      </c>
      <c r="G979" s="1">
        <v>91.98</v>
      </c>
      <c r="H979" s="1">
        <v>1</v>
      </c>
      <c r="I979" s="1">
        <f t="shared" si="31"/>
        <v>4.5990000000000002</v>
      </c>
      <c r="J979">
        <f t="shared" si="32"/>
        <v>96.579000000000008</v>
      </c>
    </row>
    <row r="980" spans="1:10" x14ac:dyDescent="0.3">
      <c r="A980" s="1" t="s">
        <v>525</v>
      </c>
      <c r="B980" s="1" t="s">
        <v>1003</v>
      </c>
      <c r="C980" s="1" t="s">
        <v>11</v>
      </c>
      <c r="D980" s="1" t="s">
        <v>12</v>
      </c>
      <c r="E980" s="1" t="s">
        <v>13</v>
      </c>
      <c r="F980" s="1" t="s">
        <v>19</v>
      </c>
      <c r="G980" s="1">
        <v>20.89</v>
      </c>
      <c r="H980" s="1">
        <v>2</v>
      </c>
      <c r="I980" s="1">
        <f t="shared" si="31"/>
        <v>2.089</v>
      </c>
      <c r="J980">
        <f t="shared" si="32"/>
        <v>43.869</v>
      </c>
    </row>
    <row r="981" spans="1:10" x14ac:dyDescent="0.3">
      <c r="A981" s="1" t="s">
        <v>525</v>
      </c>
      <c r="B981" s="1" t="s">
        <v>1004</v>
      </c>
      <c r="C981" s="1" t="s">
        <v>16</v>
      </c>
      <c r="D981" s="1" t="s">
        <v>17</v>
      </c>
      <c r="E981" s="1" t="s">
        <v>13</v>
      </c>
      <c r="F981" s="1" t="s">
        <v>19</v>
      </c>
      <c r="G981" s="1">
        <v>96.82</v>
      </c>
      <c r="H981" s="1">
        <v>3</v>
      </c>
      <c r="I981" s="1">
        <f t="shared" si="31"/>
        <v>14.523</v>
      </c>
      <c r="J981">
        <f t="shared" si="32"/>
        <v>304.983</v>
      </c>
    </row>
    <row r="982" spans="1:10" x14ac:dyDescent="0.3">
      <c r="A982" s="1" t="s">
        <v>525</v>
      </c>
      <c r="B982" s="1" t="s">
        <v>1005</v>
      </c>
      <c r="C982" s="1" t="s">
        <v>25</v>
      </c>
      <c r="D982" s="1" t="s">
        <v>26</v>
      </c>
      <c r="E982" s="1" t="s">
        <v>18</v>
      </c>
      <c r="F982" s="1" t="s">
        <v>27</v>
      </c>
      <c r="G982" s="1">
        <v>33.33</v>
      </c>
      <c r="H982" s="1">
        <v>2</v>
      </c>
      <c r="I982" s="1">
        <f t="shared" si="31"/>
        <v>3.3330000000000002</v>
      </c>
      <c r="J982">
        <f t="shared" si="32"/>
        <v>69.992999999999995</v>
      </c>
    </row>
    <row r="983" spans="1:10" x14ac:dyDescent="0.3">
      <c r="A983" s="1" t="s">
        <v>525</v>
      </c>
      <c r="B983" s="1" t="s">
        <v>1006</v>
      </c>
      <c r="C983" s="1" t="s">
        <v>11</v>
      </c>
      <c r="D983" s="1" t="s">
        <v>12</v>
      </c>
      <c r="E983" s="1" t="s">
        <v>13</v>
      </c>
      <c r="F983" s="1" t="s">
        <v>22</v>
      </c>
      <c r="G983" s="1">
        <v>81.010000000000005</v>
      </c>
      <c r="H983" s="1">
        <v>3</v>
      </c>
      <c r="I983" s="1">
        <f t="shared" si="31"/>
        <v>12.151500000000002</v>
      </c>
      <c r="J983">
        <f t="shared" si="32"/>
        <v>255.18150000000003</v>
      </c>
    </row>
    <row r="984" spans="1:10" x14ac:dyDescent="0.3">
      <c r="A984" s="1" t="s">
        <v>525</v>
      </c>
      <c r="B984" s="1" t="s">
        <v>1007</v>
      </c>
      <c r="C984" s="1" t="s">
        <v>25</v>
      </c>
      <c r="D984" s="1" t="s">
        <v>26</v>
      </c>
      <c r="E984" s="1" t="s">
        <v>13</v>
      </c>
      <c r="F984" s="1" t="s">
        <v>22</v>
      </c>
      <c r="G984" s="1">
        <v>36.909999999999997</v>
      </c>
      <c r="H984" s="1">
        <v>7</v>
      </c>
      <c r="I984" s="1">
        <f t="shared" si="31"/>
        <v>12.918500000000002</v>
      </c>
      <c r="J984">
        <f t="shared" si="32"/>
        <v>271.2885</v>
      </c>
    </row>
    <row r="985" spans="1:10" x14ac:dyDescent="0.3">
      <c r="A985" s="1" t="s">
        <v>525</v>
      </c>
      <c r="B985" s="1" t="s">
        <v>1008</v>
      </c>
      <c r="C985" s="1" t="s">
        <v>25</v>
      </c>
      <c r="D985" s="1" t="s">
        <v>26</v>
      </c>
      <c r="E985" s="1" t="s">
        <v>18</v>
      </c>
      <c r="F985" s="1" t="s">
        <v>19</v>
      </c>
      <c r="G985" s="1">
        <v>87.08</v>
      </c>
      <c r="H985" s="1">
        <v>7</v>
      </c>
      <c r="I985" s="1">
        <f t="shared" si="31"/>
        <v>30.477999999999998</v>
      </c>
      <c r="J985">
        <f t="shared" si="32"/>
        <v>640.0379999999999</v>
      </c>
    </row>
    <row r="986" spans="1:10" x14ac:dyDescent="0.3">
      <c r="A986" s="1" t="s">
        <v>525</v>
      </c>
      <c r="B986" s="1" t="s">
        <v>1009</v>
      </c>
      <c r="C986" s="1" t="s">
        <v>11</v>
      </c>
      <c r="D986" s="1" t="s">
        <v>12</v>
      </c>
      <c r="E986" s="1" t="s">
        <v>18</v>
      </c>
      <c r="F986" s="1" t="s">
        <v>22</v>
      </c>
      <c r="G986" s="1">
        <v>80.08</v>
      </c>
      <c r="H986" s="1">
        <v>3</v>
      </c>
      <c r="I986" s="1">
        <f t="shared" si="31"/>
        <v>12.012</v>
      </c>
      <c r="J986">
        <f t="shared" si="32"/>
        <v>252.25200000000001</v>
      </c>
    </row>
    <row r="987" spans="1:10" x14ac:dyDescent="0.3">
      <c r="A987" s="1" t="s">
        <v>525</v>
      </c>
      <c r="B987" s="1" t="s">
        <v>1010</v>
      </c>
      <c r="C987" s="1" t="s">
        <v>16</v>
      </c>
      <c r="D987" s="1" t="s">
        <v>17</v>
      </c>
      <c r="E987" s="1" t="s">
        <v>18</v>
      </c>
      <c r="F987" s="1" t="s">
        <v>29</v>
      </c>
      <c r="G987" s="1">
        <v>86.13</v>
      </c>
      <c r="H987" s="1">
        <v>2</v>
      </c>
      <c r="I987" s="1">
        <f t="shared" si="31"/>
        <v>8.6129999999999995</v>
      </c>
      <c r="J987">
        <f t="shared" si="32"/>
        <v>180.87299999999999</v>
      </c>
    </row>
    <row r="988" spans="1:10" x14ac:dyDescent="0.3">
      <c r="A988" s="1" t="s">
        <v>525</v>
      </c>
      <c r="B988" s="1" t="s">
        <v>1011</v>
      </c>
      <c r="C988" s="1" t="s">
        <v>25</v>
      </c>
      <c r="D988" s="1" t="s">
        <v>26</v>
      </c>
      <c r="E988" s="1" t="s">
        <v>13</v>
      </c>
      <c r="F988" s="1" t="s">
        <v>29</v>
      </c>
      <c r="G988" s="1">
        <v>49.92</v>
      </c>
      <c r="H988" s="1">
        <v>2</v>
      </c>
      <c r="I988" s="1">
        <f t="shared" si="31"/>
        <v>4.9920000000000009</v>
      </c>
      <c r="J988">
        <f t="shared" si="32"/>
        <v>104.83200000000001</v>
      </c>
    </row>
    <row r="989" spans="1:10" x14ac:dyDescent="0.3">
      <c r="A989" s="1" t="s">
        <v>525</v>
      </c>
      <c r="B989" s="1" t="s">
        <v>1012</v>
      </c>
      <c r="C989" s="1" t="s">
        <v>25</v>
      </c>
      <c r="D989" s="1" t="s">
        <v>26</v>
      </c>
      <c r="E989" s="1" t="s">
        <v>13</v>
      </c>
      <c r="F989" s="1" t="s">
        <v>27</v>
      </c>
      <c r="G989" s="1">
        <v>26.6</v>
      </c>
      <c r="H989" s="1">
        <v>6</v>
      </c>
      <c r="I989" s="1">
        <f t="shared" si="31"/>
        <v>7.9800000000000013</v>
      </c>
      <c r="J989">
        <f>(G989*H989)+I989</f>
        <v>167.58</v>
      </c>
    </row>
    <row r="990" spans="1:10" x14ac:dyDescent="0.3">
      <c r="A990" s="1" t="s">
        <v>525</v>
      </c>
      <c r="B990" s="1" t="s">
        <v>1013</v>
      </c>
      <c r="C990" s="1" t="s">
        <v>16</v>
      </c>
      <c r="D990" s="1" t="s">
        <v>17</v>
      </c>
      <c r="E990" s="1" t="s">
        <v>13</v>
      </c>
      <c r="F990" s="1" t="s">
        <v>27</v>
      </c>
      <c r="G990" s="1">
        <v>59.59</v>
      </c>
      <c r="H990" s="1">
        <v>4</v>
      </c>
      <c r="I990" s="1">
        <f t="shared" si="31"/>
        <v>11.918000000000001</v>
      </c>
      <c r="J990">
        <f t="shared" ref="J990:J1001" si="33">(G990*H990)+I990</f>
        <v>250.27800000000002</v>
      </c>
    </row>
    <row r="991" spans="1:10" x14ac:dyDescent="0.3">
      <c r="A991" s="1" t="s">
        <v>525</v>
      </c>
      <c r="B991" s="1" t="s">
        <v>1014</v>
      </c>
      <c r="C991" s="1" t="s">
        <v>11</v>
      </c>
      <c r="D991" s="1" t="s">
        <v>12</v>
      </c>
      <c r="E991" s="1" t="s">
        <v>18</v>
      </c>
      <c r="F991" s="1" t="s">
        <v>14</v>
      </c>
      <c r="G991" s="1">
        <v>58.15</v>
      </c>
      <c r="H991" s="1">
        <v>4</v>
      </c>
      <c r="I991" s="1">
        <f t="shared" si="31"/>
        <v>11.63</v>
      </c>
      <c r="J991">
        <f t="shared" si="33"/>
        <v>244.23</v>
      </c>
    </row>
    <row r="992" spans="1:10" x14ac:dyDescent="0.3">
      <c r="A992" s="1" t="s">
        <v>525</v>
      </c>
      <c r="B992" s="1" t="s">
        <v>1015</v>
      </c>
      <c r="C992" s="1" t="s">
        <v>16</v>
      </c>
      <c r="D992" s="1" t="s">
        <v>17</v>
      </c>
      <c r="E992" s="1" t="s">
        <v>18</v>
      </c>
      <c r="F992" s="1" t="s">
        <v>14</v>
      </c>
      <c r="G992" s="1">
        <v>99.96</v>
      </c>
      <c r="H992" s="1">
        <v>7</v>
      </c>
      <c r="I992" s="1">
        <f t="shared" si="31"/>
        <v>34.985999999999997</v>
      </c>
      <c r="J992">
        <f t="shared" si="33"/>
        <v>734.7059999999999</v>
      </c>
    </row>
    <row r="993" spans="1:10" x14ac:dyDescent="0.3">
      <c r="A993" s="1" t="s">
        <v>525</v>
      </c>
      <c r="B993" s="1" t="s">
        <v>1016</v>
      </c>
      <c r="C993" s="1" t="s">
        <v>16</v>
      </c>
      <c r="D993" s="1" t="s">
        <v>17</v>
      </c>
      <c r="E993" s="1" t="s">
        <v>18</v>
      </c>
      <c r="F993" s="1" t="s">
        <v>19</v>
      </c>
      <c r="G993" s="1">
        <v>96.37</v>
      </c>
      <c r="H993" s="1">
        <v>7</v>
      </c>
      <c r="I993" s="1">
        <f t="shared" si="31"/>
        <v>33.729500000000002</v>
      </c>
      <c r="J993">
        <f t="shared" si="33"/>
        <v>708.31950000000006</v>
      </c>
    </row>
    <row r="994" spans="1:10" x14ac:dyDescent="0.3">
      <c r="A994" s="1" t="s">
        <v>525</v>
      </c>
      <c r="B994" s="1" t="s">
        <v>1017</v>
      </c>
      <c r="C994" s="1" t="s">
        <v>25</v>
      </c>
      <c r="D994" s="1" t="s">
        <v>26</v>
      </c>
      <c r="E994" s="1" t="s">
        <v>13</v>
      </c>
      <c r="F994" s="1" t="s">
        <v>14</v>
      </c>
      <c r="G994" s="1">
        <v>62</v>
      </c>
      <c r="H994" s="1">
        <v>8</v>
      </c>
      <c r="I994" s="1">
        <f t="shared" si="31"/>
        <v>24.8</v>
      </c>
      <c r="J994">
        <f t="shared" si="33"/>
        <v>520.79999999999995</v>
      </c>
    </row>
    <row r="995" spans="1:10" x14ac:dyDescent="0.3">
      <c r="A995" s="1" t="s">
        <v>525</v>
      </c>
      <c r="B995" s="1" t="s">
        <v>1018</v>
      </c>
      <c r="C995" s="1" t="s">
        <v>16</v>
      </c>
      <c r="D995" s="1" t="s">
        <v>17</v>
      </c>
      <c r="E995" s="1" t="s">
        <v>13</v>
      </c>
      <c r="F995" s="1" t="s">
        <v>19</v>
      </c>
      <c r="G995" s="1">
        <v>82.34</v>
      </c>
      <c r="H995" s="1">
        <v>10</v>
      </c>
      <c r="I995" s="1">
        <f t="shared" si="31"/>
        <v>41.170000000000009</v>
      </c>
      <c r="J995">
        <f t="shared" si="33"/>
        <v>864.57</v>
      </c>
    </row>
    <row r="996" spans="1:10" x14ac:dyDescent="0.3">
      <c r="A996" s="1" t="s">
        <v>525</v>
      </c>
      <c r="B996" s="1" t="s">
        <v>1019</v>
      </c>
      <c r="C996" s="1" t="s">
        <v>25</v>
      </c>
      <c r="D996" s="1" t="s">
        <v>26</v>
      </c>
      <c r="E996" s="1" t="s">
        <v>13</v>
      </c>
      <c r="F996" s="1" t="s">
        <v>14</v>
      </c>
      <c r="G996" s="1">
        <v>75.37</v>
      </c>
      <c r="H996" s="1">
        <v>8</v>
      </c>
      <c r="I996" s="1">
        <f t="shared" si="31"/>
        <v>30.148000000000003</v>
      </c>
      <c r="J996">
        <f t="shared" si="33"/>
        <v>633.10800000000006</v>
      </c>
    </row>
    <row r="997" spans="1:10" x14ac:dyDescent="0.3">
      <c r="A997" s="1" t="s">
        <v>525</v>
      </c>
      <c r="B997" s="1" t="s">
        <v>1020</v>
      </c>
      <c r="C997" s="1" t="s">
        <v>11</v>
      </c>
      <c r="D997" s="1" t="s">
        <v>12</v>
      </c>
      <c r="E997" s="1" t="s">
        <v>18</v>
      </c>
      <c r="F997" s="1" t="s">
        <v>19</v>
      </c>
      <c r="G997" s="1">
        <v>58.03</v>
      </c>
      <c r="H997" s="1">
        <v>2</v>
      </c>
      <c r="I997" s="1">
        <f t="shared" ref="I997:I1001" si="34">(G997*H997)*5%</f>
        <v>5.8030000000000008</v>
      </c>
      <c r="J997">
        <f t="shared" si="33"/>
        <v>121.863</v>
      </c>
    </row>
    <row r="998" spans="1:10" x14ac:dyDescent="0.3">
      <c r="A998" s="1" t="s">
        <v>525</v>
      </c>
      <c r="B998" s="1" t="s">
        <v>1021</v>
      </c>
      <c r="C998" s="1" t="s">
        <v>25</v>
      </c>
      <c r="D998" s="1" t="s">
        <v>26</v>
      </c>
      <c r="E998" s="1" t="s">
        <v>18</v>
      </c>
      <c r="F998" s="1" t="s">
        <v>29</v>
      </c>
      <c r="G998" s="1">
        <v>17.489999999999998</v>
      </c>
      <c r="H998" s="1">
        <v>10</v>
      </c>
      <c r="I998" s="1">
        <f t="shared" si="34"/>
        <v>8.7449999999999992</v>
      </c>
      <c r="J998">
        <f t="shared" si="33"/>
        <v>183.64499999999998</v>
      </c>
    </row>
    <row r="999" spans="1:10" x14ac:dyDescent="0.3">
      <c r="A999" s="1" t="s">
        <v>525</v>
      </c>
      <c r="B999" s="1" t="s">
        <v>1022</v>
      </c>
      <c r="C999" s="1" t="s">
        <v>16</v>
      </c>
      <c r="D999" s="1" t="s">
        <v>17</v>
      </c>
      <c r="E999" s="1" t="s">
        <v>18</v>
      </c>
      <c r="F999" s="1" t="s">
        <v>14</v>
      </c>
      <c r="G999" s="1">
        <v>40.35</v>
      </c>
      <c r="H999" s="1">
        <v>1</v>
      </c>
      <c r="I999" s="1">
        <f t="shared" si="34"/>
        <v>2.0175000000000001</v>
      </c>
      <c r="J999">
        <f t="shared" si="33"/>
        <v>42.3675</v>
      </c>
    </row>
    <row r="1000" spans="1:10" x14ac:dyDescent="0.3">
      <c r="A1000" s="1" t="s">
        <v>525</v>
      </c>
      <c r="B1000" s="1" t="s">
        <v>1023</v>
      </c>
      <c r="C1000" s="1" t="s">
        <v>11</v>
      </c>
      <c r="D1000" s="1" t="s">
        <v>12</v>
      </c>
      <c r="E1000" s="1" t="s">
        <v>13</v>
      </c>
      <c r="F1000" s="1" t="s">
        <v>27</v>
      </c>
      <c r="G1000" s="1">
        <v>31.84</v>
      </c>
      <c r="H1000" s="1">
        <v>1</v>
      </c>
      <c r="I1000" s="1">
        <f t="shared" si="34"/>
        <v>1.5920000000000001</v>
      </c>
      <c r="J1000">
        <f t="shared" si="33"/>
        <v>33.432000000000002</v>
      </c>
    </row>
    <row r="1001" spans="1:10" x14ac:dyDescent="0.3">
      <c r="A1001" s="1" t="s">
        <v>525</v>
      </c>
      <c r="B1001" s="1" t="s">
        <v>1024</v>
      </c>
      <c r="C1001" s="1" t="s">
        <v>11</v>
      </c>
      <c r="D1001" s="1" t="s">
        <v>12</v>
      </c>
      <c r="E1001" s="1" t="s">
        <v>18</v>
      </c>
      <c r="F1001" s="1" t="s">
        <v>22</v>
      </c>
      <c r="G1001" s="1">
        <v>65.819999999999993</v>
      </c>
      <c r="H1001" s="1">
        <v>1</v>
      </c>
      <c r="I1001" s="1">
        <f t="shared" si="34"/>
        <v>3.2909999999999999</v>
      </c>
      <c r="J1001">
        <f t="shared" si="33"/>
        <v>69.11099999999999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zoomScale="73" workbookViewId="0">
      <selection activeCell="B20" sqref="B20"/>
    </sheetView>
  </sheetViews>
  <sheetFormatPr defaultRowHeight="14.4" x14ac:dyDescent="0.3"/>
  <cols>
    <col min="1" max="1" width="20" bestFit="1" customWidth="1"/>
    <col min="2" max="2" width="11.6640625" bestFit="1" customWidth="1"/>
    <col min="3" max="3" width="15.109375" customWidth="1"/>
    <col min="4" max="4" width="10.77734375" bestFit="1" customWidth="1"/>
    <col min="5" max="5" width="12.77734375" bestFit="1" customWidth="1"/>
    <col min="7" max="7" width="10.77734375" bestFit="1" customWidth="1"/>
    <col min="8" max="8" width="12.77734375" bestFit="1" customWidth="1"/>
    <col min="10" max="10" width="10.77734375" bestFit="1" customWidth="1"/>
    <col min="11" max="11" width="11.6640625" bestFit="1" customWidth="1"/>
    <col min="15" max="15" width="8" customWidth="1"/>
    <col min="21" max="21" width="24.88671875" customWidth="1"/>
  </cols>
  <sheetData>
    <row r="1" spans="1:21" ht="25.8" customHeight="1" x14ac:dyDescent="0.55000000000000004">
      <c r="C1" s="11" t="s">
        <v>1035</v>
      </c>
      <c r="M1" s="11"/>
      <c r="O1" s="10"/>
      <c r="U1" s="9"/>
    </row>
    <row r="3" spans="1:21" x14ac:dyDescent="0.3">
      <c r="A3" s="4" t="s">
        <v>1033</v>
      </c>
      <c r="B3" t="s">
        <v>1031</v>
      </c>
      <c r="D3" s="4" t="s">
        <v>3</v>
      </c>
      <c r="E3" t="s">
        <v>1031</v>
      </c>
      <c r="G3" s="4" t="s">
        <v>1032</v>
      </c>
      <c r="H3" t="s">
        <v>1031</v>
      </c>
    </row>
    <row r="4" spans="1:21" x14ac:dyDescent="0.3">
      <c r="A4" s="5" t="s">
        <v>19</v>
      </c>
      <c r="B4" s="6">
        <v>54337.531499999975</v>
      </c>
      <c r="D4" s="5" t="s">
        <v>26</v>
      </c>
      <c r="E4" s="6">
        <v>106197.67200000005</v>
      </c>
      <c r="G4" s="5" t="s">
        <v>11</v>
      </c>
      <c r="H4" s="6">
        <v>106200.37050000005</v>
      </c>
    </row>
    <row r="5" spans="1:21" x14ac:dyDescent="0.3">
      <c r="A5" s="5" t="s">
        <v>29</v>
      </c>
      <c r="B5" s="6">
        <v>54305.894999999997</v>
      </c>
      <c r="D5" s="5" t="s">
        <v>17</v>
      </c>
      <c r="E5" s="6">
        <v>110568.70650000004</v>
      </c>
      <c r="G5" s="5" t="s">
        <v>25</v>
      </c>
      <c r="H5" s="6">
        <v>106197.67200000005</v>
      </c>
    </row>
    <row r="6" spans="1:21" x14ac:dyDescent="0.3">
      <c r="A6" s="5" t="s">
        <v>27</v>
      </c>
      <c r="B6" s="6">
        <v>56144.843999999997</v>
      </c>
      <c r="D6" s="5" t="s">
        <v>12</v>
      </c>
      <c r="E6" s="6">
        <v>106200.37050000005</v>
      </c>
      <c r="G6" s="5" t="s">
        <v>16</v>
      </c>
      <c r="H6" s="6">
        <v>110568.70650000004</v>
      </c>
    </row>
    <row r="7" spans="1:21" x14ac:dyDescent="0.3">
      <c r="A7" s="5" t="s">
        <v>14</v>
      </c>
      <c r="B7" s="6">
        <v>49193.739000000001</v>
      </c>
      <c r="D7" s="5" t="s">
        <v>1030</v>
      </c>
      <c r="E7" s="6">
        <v>322966.74900000019</v>
      </c>
      <c r="G7" s="5" t="s">
        <v>1030</v>
      </c>
      <c r="H7" s="6">
        <v>322966.74900000013</v>
      </c>
    </row>
    <row r="8" spans="1:21" x14ac:dyDescent="0.3">
      <c r="A8" s="5" t="s">
        <v>22</v>
      </c>
      <c r="B8" s="6">
        <v>53861.912999999993</v>
      </c>
    </row>
    <row r="9" spans="1:21" x14ac:dyDescent="0.3">
      <c r="A9" s="5" t="s">
        <v>33</v>
      </c>
      <c r="B9" s="6">
        <v>55122.826500000017</v>
      </c>
    </row>
    <row r="10" spans="1:21" x14ac:dyDescent="0.3">
      <c r="A10" s="5" t="s">
        <v>1030</v>
      </c>
      <c r="B10" s="6">
        <v>322966.74900000001</v>
      </c>
      <c r="D10" s="4" t="s">
        <v>0</v>
      </c>
      <c r="E10" t="s">
        <v>1031</v>
      </c>
      <c r="G10" s="4" t="s">
        <v>1034</v>
      </c>
      <c r="H10" t="s">
        <v>1031</v>
      </c>
    </row>
    <row r="11" spans="1:21" x14ac:dyDescent="0.3">
      <c r="D11" s="5" t="s">
        <v>9</v>
      </c>
      <c r="E11" s="6">
        <v>167882.92500000002</v>
      </c>
      <c r="G11" s="5" t="s">
        <v>13</v>
      </c>
      <c r="H11" s="6">
        <v>164223.44399999984</v>
      </c>
    </row>
    <row r="12" spans="1:21" x14ac:dyDescent="0.3">
      <c r="D12" s="5" t="s">
        <v>525</v>
      </c>
      <c r="E12" s="6">
        <v>155083.82400000014</v>
      </c>
      <c r="G12" s="5" t="s">
        <v>18</v>
      </c>
      <c r="H12" s="6">
        <v>158743.30499999996</v>
      </c>
    </row>
    <row r="13" spans="1:21" x14ac:dyDescent="0.3">
      <c r="D13" s="5" t="s">
        <v>1030</v>
      </c>
      <c r="E13" s="6">
        <v>322966.74900000019</v>
      </c>
      <c r="G13" s="5" t="s">
        <v>1030</v>
      </c>
      <c r="H13" s="6">
        <v>322966.74899999984</v>
      </c>
    </row>
    <row r="18" spans="1:2" ht="18" x14ac:dyDescent="0.35">
      <c r="A18" s="12" t="s">
        <v>1036</v>
      </c>
    </row>
    <row r="20" spans="1:2" x14ac:dyDescent="0.3">
      <c r="A20" s="3" t="s">
        <v>1028</v>
      </c>
      <c r="B20" s="7">
        <f>SUM(supermarket_sales_analysis!J:J)</f>
        <v>322966.74899999972</v>
      </c>
    </row>
    <row r="21" spans="1:2" x14ac:dyDescent="0.3">
      <c r="A21" s="3" t="s">
        <v>1026</v>
      </c>
      <c r="B21">
        <f>COUNTA(supermarket_sales_analysis!B:B)</f>
        <v>1001</v>
      </c>
    </row>
    <row r="22" spans="1:2" x14ac:dyDescent="0.3">
      <c r="A22" s="3" t="s">
        <v>1029</v>
      </c>
      <c r="B22">
        <f>SUM(supermarket_sales_analysis!H:H)</f>
        <v>5510</v>
      </c>
    </row>
    <row r="23" spans="1:2" x14ac:dyDescent="0.3">
      <c r="A23" s="3" t="s">
        <v>1027</v>
      </c>
      <c r="B23" s="7">
        <f>AVERAGE(B20/B21)</f>
        <v>322.64410489510459</v>
      </c>
    </row>
    <row r="24" spans="1:2" x14ac:dyDescent="0.3">
      <c r="A24" s="3"/>
    </row>
    <row r="25" spans="1:2" x14ac:dyDescent="0.3">
      <c r="A25" s="3"/>
    </row>
    <row r="26" spans="1:2" x14ac:dyDescent="0.3">
      <c r="A26" s="3"/>
      <c r="B26" s="7"/>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B3" zoomScaleNormal="100" workbookViewId="0">
      <selection activeCell="W9" sqref="W9"/>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supermarket_sales_analysis</vt:lpstr>
      <vt:lpstr>pivot_table_analysis</vt:lpstr>
      <vt:lpstr>supermarket_sales_dashboard.xls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choudhry</dc:creator>
  <cp:lastModifiedBy>priyanka choudhry</cp:lastModifiedBy>
  <dcterms:created xsi:type="dcterms:W3CDTF">2026-03-13T18:09:50Z</dcterms:created>
  <dcterms:modified xsi:type="dcterms:W3CDTF">2026-03-13T18:50:57Z</dcterms:modified>
</cp:coreProperties>
</file>